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00" yWindow="900" windowWidth="28040" windowHeight="16940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-IF with AND-OR" sheetId="2" state="visible" r:id="rId2"/>
    <sheet xmlns:r="http://schemas.openxmlformats.org/officeDocument/2006/relationships" name="2-IFS and Nested IF" sheetId="3" state="visible" r:id="rId3"/>
    <sheet xmlns:r="http://schemas.openxmlformats.org/officeDocument/2006/relationships" name="3-INDEX-MATCH" sheetId="4" state="visible" r:id="rId4"/>
    <sheet xmlns:r="http://schemas.openxmlformats.org/officeDocument/2006/relationships" name="4-INDIRECT" sheetId="5" state="visible" r:id="rId5"/>
    <sheet xmlns:r="http://schemas.openxmlformats.org/officeDocument/2006/relationships" name="5-LET Function" sheetId="6" state="visible" r:id="rId6"/>
    <sheet xmlns:r="http://schemas.openxmlformats.org/officeDocument/2006/relationships" name="Practice Data" sheetId="7" state="visible" r:id="rId7"/>
    <sheet xmlns:r="http://schemas.openxmlformats.org/officeDocument/2006/relationships" name="6-VLOOKUP-HLOOKUP-XLOOKUP" sheetId="8" state="visible" r:id="rId8"/>
  </sheets>
  <definedNames>
    <definedName name="FebSales">"'4-INDIRECT'!$B$19"</definedName>
    <definedName name="GradeScale">"'Practice Data'!$A$18:$C$23"</definedName>
    <definedName name="JanSales">"'4-INDIRECT'!$B$18"</definedName>
    <definedName name="MarSales">"'4-INDIRECT'!$B$20"</definedName>
    <definedName name="ProductData">"'Practice Data'!$E$18:$H$25"</definedName>
    <definedName name="SalesData">"'Practice Data'!$A$30:$E$34"</definedName>
    <definedName name="StudentData">"'Practice Data'!$A$3:$G$13"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$#,##0"/>
  </numFmts>
  <fonts count="18"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20"/>
      <scheme val="minor"/>
    </font>
    <font>
      <name val="Aptos Narrow"/>
      <family val="2"/>
      <i val="1"/>
      <color theme="1"/>
      <sz val="12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b val="1"/>
      <color rgb="FF1F4E79"/>
      <sz val="12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rgb="FFFFFFFF"/>
      <sz val="16"/>
      <scheme val="minor"/>
    </font>
    <font>
      <name val="Aptos Narrow"/>
      <family val="2"/>
      <b val="1"/>
      <color rgb="FF2E75B6"/>
      <sz val="12"/>
      <scheme val="minor"/>
    </font>
    <font>
      <name val="Aptos Narrow"/>
      <family val="2"/>
      <b val="1"/>
      <color theme="1"/>
      <sz val="11"/>
      <scheme val="minor"/>
    </font>
    <font>
      <name val="Consolas"/>
      <family val="2"/>
      <color theme="1"/>
      <sz val="9"/>
    </font>
    <font>
      <name val="Consolas"/>
      <family val="2"/>
      <color theme="1"/>
      <sz val="8"/>
    </font>
    <font>
      <name val="Consolas"/>
      <family val="2"/>
      <color theme="1"/>
      <sz val="10"/>
    </font>
    <font>
      <name val="Consolas"/>
      <family val="2"/>
      <b val="1"/>
      <color rgb="FFFFFFFF"/>
      <sz val="10"/>
    </font>
    <font>
      <b val="1"/>
      <color rgb="001F4E78"/>
      <sz val="18"/>
    </font>
    <font>
      <b val="1"/>
      <color rgb="00FFFFFF"/>
    </font>
    <font>
      <b val="1"/>
    </font>
    <font>
      <sz val="11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F4B18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3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" fillId="4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6" fillId="3" borderId="0" pivotButton="0" quotePrefix="0" xfId="0"/>
    <xf numFmtId="164" fontId="0" fillId="0" borderId="1" pivotButton="0" quotePrefix="0" xfId="0"/>
    <xf numFmtId="0" fontId="7" fillId="2" borderId="0" pivotButton="0" quotePrefix="0" xfId="0"/>
    <xf numFmtId="0" fontId="8" fillId="0" borderId="0" pivotButton="0" quotePrefix="0" xfId="0"/>
    <xf numFmtId="0" fontId="1" fillId="5" borderId="0" pivotButton="0" quotePrefix="0" xfId="0"/>
    <xf numFmtId="0" fontId="9" fillId="5" borderId="0" pivotButton="0" quotePrefix="0" xfId="0"/>
    <xf numFmtId="0" fontId="10" fillId="6" borderId="1" pivotButton="0" quotePrefix="0" xfId="0"/>
    <xf numFmtId="0" fontId="1" fillId="7" borderId="0" pivotButton="0" quotePrefix="0" xfId="0"/>
    <xf numFmtId="0" fontId="9" fillId="7" borderId="0" pivotButton="0" quotePrefix="0" xfId="0"/>
    <xf numFmtId="0" fontId="1" fillId="8" borderId="0" pivotButton="0" quotePrefix="0" xfId="0"/>
    <xf numFmtId="0" fontId="9" fillId="8" borderId="0" pivotButton="0" quotePrefix="0" xfId="0"/>
    <xf numFmtId="0" fontId="11" fillId="6" borderId="1" pivotButton="0" quotePrefix="0" xfId="0"/>
    <xf numFmtId="0" fontId="3" fillId="0" borderId="0" pivotButton="0" quotePrefix="0" xfId="0"/>
    <xf numFmtId="0" fontId="1" fillId="0" borderId="1" pivotButton="0" quotePrefix="0" xfId="0"/>
    <xf numFmtId="0" fontId="12" fillId="0" borderId="0" pivotButton="0" quotePrefix="0" xfId="0"/>
    <xf numFmtId="0" fontId="12" fillId="0" borderId="0" pivotButton="0" quotePrefix="0" xfId="0"/>
    <xf numFmtId="0" fontId="13" fillId="3" borderId="0" pivotButton="0" quotePrefix="0" xfId="0"/>
    <xf numFmtId="9" fontId="0" fillId="0" borderId="1" pivotButton="0" quotePrefix="0" xfId="0"/>
    <xf numFmtId="0" fontId="11" fillId="8" borderId="1" pivotButton="0" quotePrefix="0" xfId="0"/>
    <xf numFmtId="0" fontId="11" fillId="5" borderId="1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/>
    </xf>
    <xf numFmtId="0" fontId="15" fillId="10" borderId="0" applyAlignment="1" pivotButton="0" quotePrefix="0" xfId="0">
      <alignment horizontal="left" vertical="center"/>
    </xf>
    <xf numFmtId="0" fontId="15" fillId="1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65" fontId="0" fillId="0" borderId="3" applyAlignment="1" pivotButton="0" quotePrefix="0" xfId="0">
      <alignment horizontal="left" vertical="center" wrapText="1"/>
    </xf>
    <xf numFmtId="0" fontId="15" fillId="9" borderId="3" applyAlignment="1" pivotButton="0" quotePrefix="0" xfId="0">
      <alignment horizontal="left" vertical="center" wrapText="1"/>
    </xf>
    <xf numFmtId="0" fontId="15" fillId="11" borderId="0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 wrapText="1"/>
    </xf>
    <xf numFmtId="0" fontId="15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tabSelected="1" workbookViewId="0">
      <selection activeCell="G25" sqref="G25"/>
    </sheetView>
  </sheetViews>
  <sheetFormatPr baseColWidth="10" defaultRowHeight="16"/>
  <cols>
    <col width="30" customWidth="1" style="1" min="1" max="1"/>
    <col width="58.33203125" customWidth="1" style="1" min="2" max="2"/>
  </cols>
  <sheetData>
    <row r="1" ht="40" customHeight="1" s="1">
      <c r="A1" s="31" t="inlineStr">
        <is>
          <t>📚 Excel Functions Learning Workbook</t>
        </is>
      </c>
    </row>
    <row r="2">
      <c r="A2" s="32" t="inlineStr">
        <is>
          <t>Master Logical Functions &amp; Lookup/Reference Functions</t>
        </is>
      </c>
    </row>
    <row r="4" ht="19" customHeight="1" s="1">
      <c r="A4" s="33" t="inlineStr">
        <is>
          <t>🎯 Learning Objectives</t>
        </is>
      </c>
    </row>
    <row r="6">
      <c r="A6" s="34" t="inlineStr">
        <is>
          <t>PART 1: Integrating Logical Functions</t>
        </is>
      </c>
    </row>
    <row r="7">
      <c r="A7" s="35" t="inlineStr">
        <is>
          <t xml:space="preserve">   • Integrate complex conjunction functions (AND, OR, NOT) into IF functions</t>
        </is>
      </c>
    </row>
    <row r="8">
      <c r="A8" s="35" t="inlineStr">
        <is>
          <t xml:space="preserve">   • Use IFS function for multiple outcomes without nesting</t>
        </is>
      </c>
    </row>
    <row r="9">
      <c r="A9" s="35" t="inlineStr">
        <is>
          <t xml:space="preserve">   • Use Nested IF functions to handle more than two outcomes</t>
        </is>
      </c>
    </row>
    <row r="11">
      <c r="A11" s="34" t="inlineStr">
        <is>
          <t>PART 2: Retrieving Data Using Lookup and Reference Functions</t>
        </is>
      </c>
    </row>
    <row r="12">
      <c r="A12" s="35" t="inlineStr">
        <is>
          <t xml:space="preserve">   • Use INDEX function to return values from a specific position</t>
        </is>
      </c>
    </row>
    <row r="13">
      <c r="A13" s="35" t="inlineStr">
        <is>
          <t xml:space="preserve">   • Use MATCH function to find the position of a value</t>
        </is>
      </c>
    </row>
    <row r="14">
      <c r="A14" s="35" t="inlineStr">
        <is>
          <t xml:space="preserve">   • Combine INDEX and MATCH for flexible lookups</t>
        </is>
      </c>
    </row>
    <row r="15">
      <c r="A15" s="35" t="inlineStr">
        <is>
          <t xml:space="preserve">   • Use INDIRECT function for dynamic cell references</t>
        </is>
      </c>
    </row>
    <row r="16">
      <c r="A16" s="36" t="inlineStr">
        <is>
          <t xml:space="preserve">   • Use VLOOKUP to retrieve values from vertical tables</t>
        </is>
      </c>
    </row>
    <row r="17">
      <c r="A17" s="36" t="inlineStr">
        <is>
          <t xml:space="preserve">   • Use HLOOKUP to retrieve values from horizontal tables</t>
        </is>
      </c>
    </row>
    <row r="18" ht="19" customHeight="1" s="1">
      <c r="A18" s="36" t="inlineStr">
        <is>
          <t xml:space="preserve">   • Use XLOOKUP for modern, flexible lookups with not-found handling</t>
        </is>
      </c>
    </row>
    <row r="19">
      <c r="A19" s="36" t="inlineStr">
        <is>
          <t xml:space="preserve">   • Compare VLOOKUP, HLOOKUP, XLOOKUP, and INDEX-MATCH approaches</t>
        </is>
      </c>
    </row>
    <row r="20">
      <c r="A20" s="35" t="inlineStr">
        <is>
          <t xml:space="preserve">   • Use LET function to improve formula efficiency and readability</t>
        </is>
      </c>
    </row>
    <row r="22">
      <c r="A22" s="33" t="inlineStr">
        <is>
          <t>📑 Worksheet Navigation</t>
        </is>
      </c>
    </row>
    <row r="24">
      <c r="A24" s="37" t="inlineStr">
        <is>
          <t>Sheet Name</t>
        </is>
      </c>
      <c r="B24" s="37" t="inlineStr">
        <is>
          <t>Description</t>
        </is>
      </c>
    </row>
    <row r="25">
      <c r="A25" s="38" t="inlineStr">
        <is>
          <t>1-IF with AND-OR</t>
        </is>
      </c>
      <c r="B25" s="38" t="inlineStr">
        <is>
          <t>Learn to combine IF with AND, OR, NOT functions</t>
        </is>
      </c>
    </row>
    <row r="26">
      <c r="A26" s="38" t="inlineStr">
        <is>
          <t>2-IFS and Nested IF</t>
        </is>
      </c>
      <c r="B26" s="38" t="inlineStr">
        <is>
          <t>Handle multiple outcomes with IFS and Nested IF</t>
        </is>
      </c>
    </row>
    <row r="27">
      <c r="A27" s="38" t="inlineStr">
        <is>
          <t>3-INDEX-MATCH</t>
        </is>
      </c>
      <c r="B27" s="38" t="inlineStr">
        <is>
          <t>Master INDEX and MATCH functions together</t>
        </is>
      </c>
    </row>
    <row r="28">
      <c r="A28" s="38" t="inlineStr">
        <is>
          <t>4-INDIRECT</t>
        </is>
      </c>
      <c r="B28" s="38" t="inlineStr">
        <is>
          <t>Create dynamic references with INDIRECT</t>
        </is>
      </c>
    </row>
    <row r="29">
      <c r="A29" s="38" t="inlineStr">
        <is>
          <t>5-LET Function</t>
        </is>
      </c>
      <c r="B29" s="38" t="inlineStr">
        <is>
          <t>Improve formulas with LET for efficiency</t>
        </is>
      </c>
    </row>
    <row r="30">
      <c r="A30" s="38" t="inlineStr">
        <is>
          <t>Practice Data</t>
        </is>
      </c>
      <c r="B30" s="38" t="inlineStr">
        <is>
          <t>Sample datasets for all exercises</t>
        </is>
      </c>
    </row>
    <row r="31">
      <c r="A31" s="39" t="inlineStr">
        <is>
          <t>6-VLOOKUP-HLOOKUP-XLOOKUP</t>
        </is>
      </c>
      <c r="B31" s="35" t="inlineStr">
        <is>
          <t>Learn VLOOKUP, HLOOKUP, and XLOOKUP for common lookup tasks</t>
        </is>
      </c>
    </row>
  </sheetData>
  <mergeCells count="4">
    <mergeCell ref="A2:G2"/>
    <mergeCell ref="A4:G4"/>
    <mergeCell ref="A1:G1"/>
    <mergeCell ref="A18:G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topLeftCell="A13" workbookViewId="0">
      <selection activeCell="F30" sqref="F30"/>
    </sheetView>
  </sheetViews>
  <sheetFormatPr baseColWidth="10" defaultRowHeight="16"/>
  <cols>
    <col width="20" customWidth="1" style="1" min="1" max="1"/>
    <col width="10" customWidth="1" style="1" min="2" max="2"/>
    <col width="11.6640625" customWidth="1" style="1" min="3" max="3"/>
    <col width="15" customWidth="1" style="1" min="4" max="4"/>
    <col width="13.33203125" customWidth="1" style="1" min="5" max="5"/>
    <col width="15" customWidth="1" style="1" min="6" max="6"/>
    <col width="58.33203125" customWidth="1" style="1" min="7" max="7"/>
  </cols>
  <sheetData>
    <row r="1" ht="35" customHeight="1" s="1">
      <c r="A1" s="13" t="inlineStr">
        <is>
          <t>🔀 Integrating IF with AND, OR, NOT Functions</t>
        </is>
      </c>
    </row>
    <row r="3">
      <c r="A3" s="14" t="inlineStr">
        <is>
          <t>💡 KEY CONCEPTS</t>
        </is>
      </c>
    </row>
    <row r="5">
      <c r="A5" t="inlineStr">
        <is>
          <t>AND Function: Returns TRUE only if ALL conditions are TRUE</t>
        </is>
      </c>
    </row>
    <row r="6">
      <c r="A6" t="inlineStr">
        <is>
          <t xml:space="preserve">   Syntax: AND(condition1, condition2, ...)</t>
        </is>
      </c>
    </row>
    <row r="8">
      <c r="A8" t="inlineStr">
        <is>
          <t>OR Function: Returns TRUE if ANY condition is TRUE</t>
        </is>
      </c>
    </row>
    <row r="9">
      <c r="A9" t="inlineStr">
        <is>
          <t xml:space="preserve">   Syntax: OR(condition1, condition2, ...)</t>
        </is>
      </c>
    </row>
    <row r="11">
      <c r="A11" t="inlineStr">
        <is>
          <t>NOT Function: Reverses the logical value</t>
        </is>
      </c>
    </row>
    <row r="12">
      <c r="A12" t="inlineStr">
        <is>
          <t xml:space="preserve">   Syntax: NOT(logical_value)</t>
        </is>
      </c>
    </row>
    <row r="14">
      <c r="A14" t="inlineStr">
        <is>
          <t>Combining with IF: IF(AND(...), value_if_true, value_if_false)</t>
        </is>
      </c>
    </row>
    <row r="16">
      <c r="A16" s="16" t="inlineStr">
        <is>
          <t>📌 EXAMPLE 1: IF with AND - Honor Roll Eligibility</t>
        </is>
      </c>
    </row>
    <row r="17">
      <c r="A17" s="23" t="inlineStr">
        <is>
          <t>Criteria: Student must have Math ≥ 85 AND Science ≥ 85 AND Attendance ≥ 90%</t>
        </is>
      </c>
    </row>
    <row r="19">
      <c r="A19" s="8" t="inlineStr">
        <is>
          <t>Name</t>
        </is>
      </c>
      <c r="B19" s="8" t="inlineStr">
        <is>
          <t>Math</t>
        </is>
      </c>
      <c r="C19" s="8" t="inlineStr">
        <is>
          <t>Science</t>
        </is>
      </c>
      <c r="D19" s="8" t="inlineStr">
        <is>
          <t>Attendance%</t>
        </is>
      </c>
      <c r="E19" s="8" t="inlineStr">
        <is>
          <t>Honor Roll?</t>
        </is>
      </c>
      <c r="F19" s="8" t="inlineStr">
        <is>
          <t>Formula Used</t>
        </is>
      </c>
    </row>
    <row r="20">
      <c r="A20" s="9" t="inlineStr">
        <is>
          <t>Alice Johnson</t>
        </is>
      </c>
      <c r="B20" s="9" t="n">
        <v>92</v>
      </c>
      <c r="C20" s="9" t="n">
        <v>88</v>
      </c>
      <c r="D20" s="9" t="n">
        <v>98</v>
      </c>
      <c r="E20" s="9">
        <f>IF(AND(B20&gt;=85,C20&gt;=85,D20&gt;=90),"Yes","No")</f>
        <v/>
      </c>
      <c r="F20" s="17">
        <f>IF(AND(B20&gt;=85,C20&gt;=85,D20&gt;=90),"Yes","No")</f>
        <v/>
      </c>
    </row>
    <row r="21">
      <c r="A21" s="9" t="inlineStr">
        <is>
          <t>Bob Smith</t>
        </is>
      </c>
      <c r="B21" s="9" t="n">
        <v>78</v>
      </c>
      <c r="C21" s="9" t="n">
        <v>82</v>
      </c>
      <c r="D21" s="9" t="n">
        <v>85</v>
      </c>
      <c r="E21" s="9">
        <f>IF(AND(B21&gt;=85,C21&gt;=85,D21&gt;=90),"Yes","No")</f>
        <v/>
      </c>
      <c r="F21" s="17">
        <f>IF(AND(B21&gt;=85,C21&gt;=85,D21&gt;=90),"Yes","No")</f>
        <v/>
      </c>
    </row>
    <row r="22">
      <c r="A22" s="9" t="inlineStr">
        <is>
          <t>David Wilson</t>
        </is>
      </c>
      <c r="B22" s="9" t="n">
        <v>88</v>
      </c>
      <c r="C22" s="9" t="n">
        <v>91</v>
      </c>
      <c r="D22" s="9" t="n">
        <v>95</v>
      </c>
      <c r="E22" s="9">
        <f>IF(AND(B22&gt;=85,C22&gt;=85,D22&gt;=90),"Yes","No")</f>
        <v/>
      </c>
      <c r="F22" s="17">
        <f>IF(AND(B22&gt;=85,C22&gt;=85,D22&gt;=90),"Yes","No")</f>
        <v/>
      </c>
    </row>
    <row r="23">
      <c r="A23" s="9" t="inlineStr">
        <is>
          <t>Grace Lee</t>
        </is>
      </c>
      <c r="B23" s="9" t="n">
        <v>95</v>
      </c>
      <c r="C23" s="9" t="n">
        <v>98</v>
      </c>
      <c r="D23" s="9" t="n">
        <v>100</v>
      </c>
      <c r="E23" s="9">
        <f>IF(AND(B23&gt;=85,C23&gt;=85,D23&gt;=90),"Yes","No")</f>
        <v/>
      </c>
      <c r="F23" s="17">
        <f>IF(AND(B23&gt;=85,C23&gt;=85,D23&gt;=90),"Yes","No")</f>
        <v/>
      </c>
    </row>
    <row r="26">
      <c r="A26" s="19" t="inlineStr">
        <is>
          <t>📌 EXAMPLE 2: IF with OR - Scholarship Eligibility</t>
        </is>
      </c>
    </row>
    <row r="27">
      <c r="A27" s="23" t="inlineStr">
        <is>
          <t>Criteria: Student qualifies if Math ≥ 90 OR Science ≥ 90 OR English ≥ 90</t>
        </is>
      </c>
    </row>
    <row r="29">
      <c r="A29" s="8" t="inlineStr">
        <is>
          <t>Name</t>
        </is>
      </c>
      <c r="B29" s="8" t="inlineStr">
        <is>
          <t>Math</t>
        </is>
      </c>
      <c r="C29" s="8" t="inlineStr">
        <is>
          <t>Science</t>
        </is>
      </c>
      <c r="D29" s="8" t="inlineStr">
        <is>
          <t>English</t>
        </is>
      </c>
      <c r="E29" s="8" t="inlineStr">
        <is>
          <t>Scholarship?</t>
        </is>
      </c>
      <c r="F29" s="8" t="inlineStr">
        <is>
          <t>Formula Used</t>
        </is>
      </c>
    </row>
    <row r="30">
      <c r="A30" s="9" t="inlineStr">
        <is>
          <t>Alice Johnson</t>
        </is>
      </c>
      <c r="B30" s="9" t="n">
        <v>92</v>
      </c>
      <c r="C30" s="9" t="n">
        <v>88</v>
      </c>
      <c r="D30" s="9" t="n">
        <v>95</v>
      </c>
      <c r="E30" s="9">
        <f>IF(OR(B30&gt;=90,C30&gt;=90,D30&gt;=90),"Eligible","Not Eligible")</f>
        <v/>
      </c>
      <c r="F30" s="17">
        <f>IF(OR(B30&gt;=90,C30&gt;=90,D30&gt;=90),"Eligible","Not Eligible")</f>
        <v/>
      </c>
    </row>
    <row r="31">
      <c r="A31" s="9" t="inlineStr">
        <is>
          <t>Bob Smith</t>
        </is>
      </c>
      <c r="B31" s="9" t="n">
        <v>78</v>
      </c>
      <c r="C31" s="9" t="n">
        <v>82</v>
      </c>
      <c r="D31" s="9" t="n">
        <v>75</v>
      </c>
      <c r="E31" s="9">
        <f>IF(OR(B31&gt;=90,C31&gt;=90,D31&gt;=90),"Eligible","Not Eligible")</f>
        <v/>
      </c>
      <c r="F31" s="17">
        <f>IF(OR(B31&gt;=90,C31&gt;=90,D31&gt;=90),"Eligible","Not Eligible")</f>
        <v/>
      </c>
    </row>
    <row r="32">
      <c r="A32" s="9" t="inlineStr">
        <is>
          <t>Carol Davis</t>
        </is>
      </c>
      <c r="B32" s="9" t="n">
        <v>65</v>
      </c>
      <c r="C32" s="9" t="n">
        <v>70</v>
      </c>
      <c r="D32" s="9" t="n">
        <v>68</v>
      </c>
      <c r="E32" s="9">
        <f>IF(OR(B32&gt;=90,C32&gt;=90,D32&gt;=90),"Eligible","Not Eligible")</f>
        <v/>
      </c>
      <c r="F32" s="17">
        <f>IF(OR(B32&gt;=90,C32&gt;=90,D32&gt;=90),"Eligible","Not Eligible")</f>
        <v/>
      </c>
    </row>
    <row r="33">
      <c r="A33" s="9" t="inlineStr">
        <is>
          <t>Grace Lee</t>
        </is>
      </c>
      <c r="B33" s="9" t="n">
        <v>95</v>
      </c>
      <c r="C33" s="9" t="n">
        <v>98</v>
      </c>
      <c r="D33" s="9" t="n">
        <v>92</v>
      </c>
      <c r="E33" s="9">
        <f>IF(OR(B33&gt;=90,C33&gt;=90,D33&gt;=90),"Eligible","Not Eligible")</f>
        <v/>
      </c>
      <c r="F33" s="17">
        <f>IF(OR(B33&gt;=90,C33&gt;=90,D33&gt;=90),"Eligible","Not Eligible")</f>
        <v/>
      </c>
    </row>
    <row r="36">
      <c r="A36" s="21" t="inlineStr">
        <is>
          <t>📌 EXAMPLE 3: Combining AND with OR - Special Recognition</t>
        </is>
      </c>
    </row>
    <row r="37">
      <c r="A37" s="23" t="inlineStr">
        <is>
          <t>Criteria: (Math ≥ 80 AND Science ≥ 80) OR (Attendance = 100% AND ExtraCurricular = Yes)</t>
        </is>
      </c>
    </row>
    <row r="39">
      <c r="A39" s="8" t="inlineStr">
        <is>
          <t>Name</t>
        </is>
      </c>
      <c r="B39" s="8" t="inlineStr">
        <is>
          <t>Math</t>
        </is>
      </c>
      <c r="C39" s="8" t="inlineStr">
        <is>
          <t>Science</t>
        </is>
      </c>
      <c r="D39" s="8" t="inlineStr">
        <is>
          <t>Attendance%</t>
        </is>
      </c>
      <c r="E39" s="8" t="inlineStr">
        <is>
          <t>ExtraCurr</t>
        </is>
      </c>
      <c r="F39" s="8" t="inlineStr">
        <is>
          <t>Recognition?</t>
        </is>
      </c>
      <c r="G39" s="8" t="inlineStr">
        <is>
          <t>Formula Used</t>
        </is>
      </c>
    </row>
    <row r="40">
      <c r="A40" s="9" t="inlineStr">
        <is>
          <t>Alice Johnson</t>
        </is>
      </c>
      <c r="B40" s="9" t="n">
        <v>92</v>
      </c>
      <c r="C40" s="9" t="n">
        <v>88</v>
      </c>
      <c r="D40" s="9" t="n">
        <v>98</v>
      </c>
      <c r="E40" s="9" t="inlineStr">
        <is>
          <t>Yes</t>
        </is>
      </c>
      <c r="F40" s="9">
        <f>IF(OR(AND(B40&gt;=80,C40&gt;=80),AND(D40=100,E40="Yes")),"Yes","No")</f>
        <v/>
      </c>
      <c r="G40" s="22">
        <f>IF(OR(AND(B40&gt;=80,C40&gt;=80),AND(D40=100,E40="Yes")),"Yes","No")</f>
        <v/>
      </c>
    </row>
    <row r="41">
      <c r="A41" s="9" t="inlineStr">
        <is>
          <t>Frank Miller</t>
        </is>
      </c>
      <c r="B41" s="9" t="n">
        <v>72</v>
      </c>
      <c r="C41" s="9" t="n">
        <v>68</v>
      </c>
      <c r="D41" s="9" t="n">
        <v>80</v>
      </c>
      <c r="E41" s="9" t="inlineStr">
        <is>
          <t>No</t>
        </is>
      </c>
      <c r="F41" s="9">
        <f>IF(OR(AND(B41&gt;=80,C41&gt;=80),AND(D41=100,E41="Yes")),"Yes","No")</f>
        <v/>
      </c>
      <c r="G41" s="22">
        <f>IF(OR(AND(B41&gt;=80,C41&gt;=80),AND(D41=100,E41="Yes")),"Yes","No")</f>
        <v/>
      </c>
    </row>
    <row r="42">
      <c r="A42" s="9" t="inlineStr">
        <is>
          <t>Grace Lee</t>
        </is>
      </c>
      <c r="B42" s="9" t="n">
        <v>95</v>
      </c>
      <c r="C42" s="9" t="n">
        <v>98</v>
      </c>
      <c r="D42" s="9" t="n">
        <v>100</v>
      </c>
      <c r="E42" s="9" t="inlineStr">
        <is>
          <t>Yes</t>
        </is>
      </c>
      <c r="F42" s="9">
        <f>IF(OR(AND(B42&gt;=80,C42&gt;=80),AND(D42=100,E42="Yes")),"Yes","No")</f>
        <v/>
      </c>
      <c r="G42" s="22">
        <f>IF(OR(AND(B42&gt;=80,C42&gt;=80),AND(D42=100,E42="Yes")),"Yes","No")</f>
        <v/>
      </c>
    </row>
    <row r="43">
      <c r="A43" s="9" t="inlineStr">
        <is>
          <t>Henry Taylor</t>
        </is>
      </c>
      <c r="B43" s="9" t="n">
        <v>58</v>
      </c>
      <c r="C43" s="9" t="n">
        <v>55</v>
      </c>
      <c r="D43" s="9" t="n">
        <v>100</v>
      </c>
      <c r="E43" s="9" t="inlineStr">
        <is>
          <t>Yes</t>
        </is>
      </c>
      <c r="F43" s="9">
        <f>IF(OR(AND(B43&gt;=80,C43&gt;=80),AND(D43=100,E43="Yes")),"Yes","No")</f>
        <v/>
      </c>
      <c r="G43" s="22">
        <f>IF(OR(AND(B43&gt;=80,C43&gt;=80),AND(D43=100,E43="Yes")),"Yes","No")</f>
        <v/>
      </c>
    </row>
  </sheetData>
  <mergeCells count="7">
    <mergeCell ref="A26:H26"/>
    <mergeCell ref="A16:H16"/>
    <mergeCell ref="A36:H36"/>
    <mergeCell ref="A1:H1"/>
    <mergeCell ref="A37:H37"/>
    <mergeCell ref="A27:H27"/>
    <mergeCell ref="A17:H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topLeftCell="A24" workbookViewId="0">
      <selection activeCell="A1" sqref="A1:H1"/>
    </sheetView>
  </sheetViews>
  <sheetFormatPr baseColWidth="10" defaultRowHeight="16"/>
  <cols>
    <col width="20" customWidth="1" style="1" min="1" max="1"/>
    <col width="15" customWidth="1" style="1" min="2" max="2"/>
    <col width="21.6640625" customWidth="1" style="1" min="3" max="3"/>
    <col width="66.6640625" customWidth="1" style="1" min="4" max="4"/>
  </cols>
  <sheetData>
    <row r="1" ht="35" customHeight="1" s="1">
      <c r="A1" s="13" t="inlineStr">
        <is>
          <t>🔢 IFS and Nested IF Functions - Multiple Outcomes</t>
        </is>
      </c>
    </row>
    <row r="3">
      <c r="A3" s="14" t="inlineStr">
        <is>
          <t>💡 KEY CONCEPTS</t>
        </is>
      </c>
    </row>
    <row r="5">
      <c r="A5" t="inlineStr">
        <is>
          <t>IFS Function (Excel 2019+): Evaluates multiple conditions and returns value for FIRST true condition</t>
        </is>
      </c>
    </row>
    <row r="6">
      <c r="A6" t="inlineStr">
        <is>
          <t xml:space="preserve">   Syntax: IFS(condition1, value1, condition2, value2, ..., TRUE, default_value)</t>
        </is>
      </c>
    </row>
    <row r="7">
      <c r="A7" t="inlineStr">
        <is>
          <t xml:space="preserve">   ✓ Cleaner syntax, easier to read</t>
        </is>
      </c>
    </row>
    <row r="8">
      <c r="A8" t="inlineStr">
        <is>
          <t xml:space="preserve">   ✓ Use TRUE as last condition for default value</t>
        </is>
      </c>
    </row>
    <row r="10">
      <c r="A10" t="inlineStr">
        <is>
          <t>Nested IF: Traditional approach using IF within IF</t>
        </is>
      </c>
    </row>
    <row r="11">
      <c r="A11" t="inlineStr">
        <is>
          <t xml:space="preserve">   Syntax: IF(condition1, value1, IF(condition2, value2, IF(condition3, value3, default)))</t>
        </is>
      </c>
    </row>
    <row r="12">
      <c r="A12" t="inlineStr">
        <is>
          <t xml:space="preserve">   ✓ Works in all Excel versions</t>
        </is>
      </c>
    </row>
    <row r="13">
      <c r="A13" t="inlineStr">
        <is>
          <t xml:space="preserve">   ✗ Can become difficult to read with many conditions</t>
        </is>
      </c>
    </row>
    <row r="15">
      <c r="A15" s="6" t="inlineStr">
        <is>
          <t>📋 Grade Scale Reference:</t>
        </is>
      </c>
    </row>
    <row r="16">
      <c r="A16" s="8" t="inlineStr">
        <is>
          <t>Score Range</t>
        </is>
      </c>
      <c r="B16" s="8" t="inlineStr">
        <is>
          <t>Grade</t>
        </is>
      </c>
    </row>
    <row r="17">
      <c r="A17" s="9" t="inlineStr">
        <is>
          <t>90-100</t>
        </is>
      </c>
      <c r="B17" s="9" t="inlineStr">
        <is>
          <t>A</t>
        </is>
      </c>
    </row>
    <row r="18">
      <c r="A18" s="9" t="inlineStr">
        <is>
          <t>80-89</t>
        </is>
      </c>
      <c r="B18" s="9" t="inlineStr">
        <is>
          <t>B</t>
        </is>
      </c>
    </row>
    <row r="19">
      <c r="A19" s="9" t="inlineStr">
        <is>
          <t>70-79</t>
        </is>
      </c>
      <c r="B19" s="9" t="inlineStr">
        <is>
          <t>C</t>
        </is>
      </c>
    </row>
    <row r="20">
      <c r="A20" s="9" t="inlineStr">
        <is>
          <t>60-69</t>
        </is>
      </c>
      <c r="B20" s="9" t="inlineStr">
        <is>
          <t>D</t>
        </is>
      </c>
    </row>
    <row r="21">
      <c r="A21" s="9" t="inlineStr">
        <is>
          <t>0-59</t>
        </is>
      </c>
      <c r="B21" s="9" t="inlineStr">
        <is>
          <t>F</t>
        </is>
      </c>
    </row>
    <row r="24">
      <c r="A24" s="16" t="inlineStr">
        <is>
          <t>📌 EXAMPLE 1: Using IFS Function for Grade Assignment</t>
        </is>
      </c>
    </row>
    <row r="26">
      <c r="A26" s="8" t="inlineStr">
        <is>
          <t>Name</t>
        </is>
      </c>
      <c r="B26" s="8" t="inlineStr">
        <is>
          <t>Math Score</t>
        </is>
      </c>
      <c r="C26" s="8" t="inlineStr">
        <is>
          <t>Grade (IFS)</t>
        </is>
      </c>
      <c r="D26" s="8" t="inlineStr">
        <is>
          <t>Formula Used</t>
        </is>
      </c>
    </row>
    <row r="27">
      <c r="A27" s="9" t="inlineStr">
        <is>
          <t>Alice Johnson</t>
        </is>
      </c>
      <c r="B27" s="9" t="n">
        <v>92</v>
      </c>
      <c r="C27" s="9">
        <f t="array" ref="C27">_xlfn.IFS(B27&gt;=90,"A",B27&gt;=80,"B",B27&gt;=70,"C",B27&gt;=60,"D",TRUE,"F")</f>
        <v/>
      </c>
      <c r="D27" s="17">
        <f t="array" ref="D27">_xlfn.IFS(B27&gt;=90,"A",B27&gt;=80,"B",B27&gt;=70,"C",B27&gt;=60,"D",TRUE,"F")</f>
        <v/>
      </c>
    </row>
    <row r="28">
      <c r="A28" s="9" t="inlineStr">
        <is>
          <t>Bob Smith</t>
        </is>
      </c>
      <c r="B28" s="9" t="n">
        <v>78</v>
      </c>
      <c r="C28" s="9">
        <f t="array" ref="C28">_xlfn.IFS(B28&gt;=90,"A",B28&gt;=80,"B",B28&gt;=70,"C",B28&gt;=60,"D",TRUE,"F")</f>
        <v/>
      </c>
      <c r="D28" s="17" t="inlineStr">
        <is>
          <t>(same formula pattern)</t>
        </is>
      </c>
    </row>
    <row r="29">
      <c r="A29" s="9" t="inlineStr">
        <is>
          <t>Carol Davis</t>
        </is>
      </c>
      <c r="B29" s="9" t="n">
        <v>65</v>
      </c>
      <c r="C29" s="9">
        <f t="array" ref="C29">_xlfn.IFS(B29&gt;=90,"A",B29&gt;=80,"B",B29&gt;=70,"C",B29&gt;=60,"D",TRUE,"F")</f>
        <v/>
      </c>
      <c r="D29" s="17" t="inlineStr">
        <is>
          <t>(same formula pattern)</t>
        </is>
      </c>
    </row>
    <row r="30">
      <c r="A30" s="9" t="inlineStr">
        <is>
          <t>Emma Brown</t>
        </is>
      </c>
      <c r="B30" s="9" t="n">
        <v>45</v>
      </c>
      <c r="C30" s="9">
        <f t="array" ref="C30">_xlfn.IFS(B30&gt;=90,"A",B30&gt;=80,"B",B30&gt;=70,"C",B30&gt;=60,"D",TRUE,"F")</f>
        <v/>
      </c>
      <c r="D30" s="17" t="inlineStr">
        <is>
          <t>(same formula pattern)</t>
        </is>
      </c>
    </row>
    <row r="31">
      <c r="A31" s="9" t="inlineStr">
        <is>
          <t>Grace Lee</t>
        </is>
      </c>
      <c r="B31" s="9" t="n">
        <v>95</v>
      </c>
      <c r="C31" s="9">
        <f t="array" ref="C31">_xlfn.IFS(B31&gt;=90,"A",B31&gt;=80,"B",B31&gt;=70,"C",B31&gt;=60,"D",TRUE,"F")</f>
        <v/>
      </c>
      <c r="D31" s="17" t="inlineStr">
        <is>
          <t>(same formula pattern)</t>
        </is>
      </c>
    </row>
    <row r="34">
      <c r="A34" s="19" t="inlineStr">
        <is>
          <t>📌 EXAMPLE 2: Using Nested IF for Grade Assignment (Same Result)</t>
        </is>
      </c>
    </row>
    <row r="36">
      <c r="A36" s="8" t="inlineStr">
        <is>
          <t>Name</t>
        </is>
      </c>
      <c r="B36" s="8" t="inlineStr">
        <is>
          <t>Math Score</t>
        </is>
      </c>
      <c r="C36" s="8" t="inlineStr">
        <is>
          <t>Grade (Nested IF)</t>
        </is>
      </c>
      <c r="D36" s="8" t="inlineStr">
        <is>
          <t>Formula Used</t>
        </is>
      </c>
    </row>
    <row r="37">
      <c r="A37" s="9" t="inlineStr">
        <is>
          <t>Alice Johnson</t>
        </is>
      </c>
      <c r="B37" s="9" t="n">
        <v>92</v>
      </c>
      <c r="C37" s="9">
        <f>IF(B37&gt;=90,"A",IF(B37&gt;=80,"B",IF(B37&gt;=70,"C",IF(B37&gt;=60,"D","F"))))</f>
        <v/>
      </c>
      <c r="D37" s="17">
        <f>IF(B37&gt;=90,"A",IF(B37&gt;=80,"B",IF(B37&gt;=70,"C",IF(B37&gt;=60,"D","F"))))</f>
        <v/>
      </c>
    </row>
    <row r="38">
      <c r="A38" s="9" t="inlineStr">
        <is>
          <t>Bob Smith</t>
        </is>
      </c>
      <c r="B38" s="9" t="n">
        <v>78</v>
      </c>
      <c r="C38" s="9">
        <f>IF(B38&gt;=90,"A",IF(B38&gt;=80,"B",IF(B38&gt;=70,"C",IF(B38&gt;=60,"D","F"))))</f>
        <v/>
      </c>
      <c r="D38" s="17" t="inlineStr">
        <is>
          <t>(same formula pattern)</t>
        </is>
      </c>
    </row>
    <row r="39">
      <c r="A39" s="9" t="inlineStr">
        <is>
          <t>Carol Davis</t>
        </is>
      </c>
      <c r="B39" s="9" t="n">
        <v>65</v>
      </c>
      <c r="C39" s="9">
        <f>IF(B39&gt;=90,"A",IF(B39&gt;=80,"B",IF(B39&gt;=70,"C",IF(B39&gt;=60,"D","F"))))</f>
        <v/>
      </c>
      <c r="D39" s="17" t="inlineStr">
        <is>
          <t>(same formula pattern)</t>
        </is>
      </c>
    </row>
    <row r="40">
      <c r="A40" s="9" t="inlineStr">
        <is>
          <t>Emma Brown</t>
        </is>
      </c>
      <c r="B40" s="9" t="n">
        <v>45</v>
      </c>
      <c r="C40" s="9">
        <f>IF(B40&gt;=90,"A",IF(B40&gt;=80,"B",IF(B40&gt;=70,"C",IF(B40&gt;=60,"D","F"))))</f>
        <v/>
      </c>
      <c r="D40" s="17" t="inlineStr">
        <is>
          <t>(same formula pattern)</t>
        </is>
      </c>
    </row>
    <row r="41">
      <c r="A41" s="9" t="inlineStr">
        <is>
          <t>Grace Lee</t>
        </is>
      </c>
      <c r="B41" s="9" t="n">
        <v>95</v>
      </c>
      <c r="C41" s="9">
        <f>IF(B41&gt;=90,"A",IF(B41&gt;=80,"B",IF(B41&gt;=70,"C",IF(B41&gt;=60,"D","F"))))</f>
        <v/>
      </c>
      <c r="D41" s="17" t="inlineStr">
        <is>
          <t>(same formula pattern)</t>
        </is>
      </c>
    </row>
    <row r="44">
      <c r="A44" s="21" t="inlineStr">
        <is>
          <t>⚖️ COMPARISON: IFS vs Nested IF</t>
        </is>
      </c>
    </row>
    <row r="46">
      <c r="A46" s="8" t="inlineStr">
        <is>
          <t>Aspect</t>
        </is>
      </c>
      <c r="B46" s="8" t="inlineStr">
        <is>
          <t>IFS Function</t>
        </is>
      </c>
      <c r="C46" s="8" t="inlineStr">
        <is>
          <t>Nested IF</t>
        </is>
      </c>
    </row>
    <row r="47">
      <c r="A47" s="9" t="inlineStr">
        <is>
          <t>Readability</t>
        </is>
      </c>
      <c r="B47" s="9" t="inlineStr">
        <is>
          <t>✓ Easier to read</t>
        </is>
      </c>
      <c r="C47" s="9" t="inlineStr">
        <is>
          <t>✗ Gets complex quickly</t>
        </is>
      </c>
    </row>
    <row r="48">
      <c r="A48" s="9" t="inlineStr">
        <is>
          <t>Maintenance</t>
        </is>
      </c>
      <c r="B48" s="9" t="inlineStr">
        <is>
          <t>✓ Easy to modify</t>
        </is>
      </c>
      <c r="C48" s="9" t="inlineStr">
        <is>
          <t>✗ Harder to update</t>
        </is>
      </c>
    </row>
    <row r="49">
      <c r="A49" s="9" t="inlineStr">
        <is>
          <t>Compatibility</t>
        </is>
      </c>
      <c r="B49" s="9" t="inlineStr">
        <is>
          <t>Excel 2019+ only</t>
        </is>
      </c>
      <c r="C49" s="9" t="inlineStr">
        <is>
          <t>✓ All versions</t>
        </is>
      </c>
    </row>
    <row r="50">
      <c r="A50" s="9" t="inlineStr">
        <is>
          <t>Default Value</t>
        </is>
      </c>
      <c r="B50" s="9" t="inlineStr">
        <is>
          <t>Use TRUE as condition</t>
        </is>
      </c>
      <c r="C50" s="9" t="inlineStr">
        <is>
          <t>Last false value</t>
        </is>
      </c>
    </row>
    <row r="51">
      <c r="A51" s="9" t="inlineStr">
        <is>
          <t>Performance</t>
        </is>
      </c>
      <c r="B51" s="9" t="inlineStr">
        <is>
          <t>Similar</t>
        </is>
      </c>
      <c r="C51" s="9" t="inlineStr">
        <is>
          <t>Similar</t>
        </is>
      </c>
    </row>
  </sheetData>
  <mergeCells count="4">
    <mergeCell ref="A1:H1"/>
    <mergeCell ref="A24:H24"/>
    <mergeCell ref="A44:D44"/>
    <mergeCell ref="A34:H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:H1"/>
    </sheetView>
  </sheetViews>
  <sheetFormatPr baseColWidth="10" defaultRowHeight="16"/>
  <cols>
    <col width="30" customWidth="1" style="1" min="1" max="1"/>
    <col width="16.6640625" customWidth="1" style="1" min="2" max="2"/>
    <col width="15" customWidth="1" style="1" min="3" max="3"/>
    <col width="58.33203125" customWidth="1" style="1" min="4" max="4"/>
    <col width="13.33203125" customWidth="1" style="1" min="5" max="5"/>
    <col width="15" customWidth="1" style="1" min="6" max="6"/>
  </cols>
  <sheetData>
    <row r="1" ht="35" customHeight="1" s="1">
      <c r="A1" s="13" t="inlineStr">
        <is>
          <t>🔍 INDEX, MATCH, and INDEX-MATCH Combination</t>
        </is>
      </c>
    </row>
    <row r="3">
      <c r="A3" s="14" t="inlineStr">
        <is>
          <t>💡 KEY CONCEPTS</t>
        </is>
      </c>
    </row>
    <row r="5">
      <c r="A5" t="inlineStr">
        <is>
          <t>INDEX Function: Returns a value from a specific position in a range</t>
        </is>
      </c>
    </row>
    <row r="6">
      <c r="A6" t="inlineStr">
        <is>
          <t xml:space="preserve">   Syntax: INDEX(array, row_num, [column_num])</t>
        </is>
      </c>
    </row>
    <row r="7">
      <c r="A7" t="inlineStr">
        <is>
          <t xml:space="preserve">   Example: INDEX(A1:C10, 3, 2) returns the value in row 3, column 2</t>
        </is>
      </c>
    </row>
    <row r="9">
      <c r="A9" t="inlineStr">
        <is>
          <t>MATCH Function: Finds the position of a value in a range</t>
        </is>
      </c>
    </row>
    <row r="10">
      <c r="A10" t="inlineStr">
        <is>
          <t xml:space="preserve">   Syntax: MATCH(lookup_value, lookup_array, [match_type])</t>
        </is>
      </c>
    </row>
    <row r="11">
      <c r="A11" t="inlineStr">
        <is>
          <t xml:space="preserve">   match_type: 0 = exact match, 1 = less than, -1 = greater than</t>
        </is>
      </c>
    </row>
    <row r="13">
      <c r="A13" t="inlineStr">
        <is>
          <t>INDEX-MATCH Combination: More flexible than VLOOKUP!</t>
        </is>
      </c>
    </row>
    <row r="14">
      <c r="A14" t="inlineStr">
        <is>
          <t xml:space="preserve">   Syntax: INDEX(return_range, MATCH(lookup_value, lookup_range, 0))</t>
        </is>
      </c>
    </row>
    <row r="15">
      <c r="A15" t="inlineStr">
        <is>
          <t xml:space="preserve">   ✓ Can look up to the left (VLOOKUP cannot)</t>
        </is>
      </c>
    </row>
    <row r="16">
      <c r="A16" t="inlineStr">
        <is>
          <t xml:space="preserve">   ✓ Column insertions don't break the formula</t>
        </is>
      </c>
    </row>
    <row r="17">
      <c r="A17" t="inlineStr">
        <is>
          <t xml:space="preserve">   ✓ Works with rows or columns</t>
        </is>
      </c>
    </row>
    <row r="19">
      <c r="A19" s="11" t="inlineStr">
        <is>
          <t>📊 SAMPLE DATA</t>
        </is>
      </c>
    </row>
    <row r="21">
      <c r="A21" s="8" t="inlineStr">
        <is>
          <t>ProductID</t>
        </is>
      </c>
      <c r="B21" s="8" t="inlineStr">
        <is>
          <t>Product</t>
        </is>
      </c>
      <c r="C21" s="8" t="inlineStr">
        <is>
          <t>Category</t>
        </is>
      </c>
      <c r="D21" s="8" t="inlineStr">
        <is>
          <t>Price</t>
        </is>
      </c>
      <c r="E21" s="8" t="inlineStr">
        <is>
          <t>Stock</t>
        </is>
      </c>
      <c r="F21" s="8" t="inlineStr">
        <is>
          <t>Supplier</t>
        </is>
      </c>
    </row>
    <row r="22">
      <c r="A22" s="9" t="inlineStr">
        <is>
          <t>P101</t>
        </is>
      </c>
      <c r="B22" s="9" t="inlineStr">
        <is>
          <t>Laptop</t>
        </is>
      </c>
      <c r="C22" s="9" t="inlineStr">
        <is>
          <t>Electronics</t>
        </is>
      </c>
      <c r="D22" s="12" t="n">
        <v>999</v>
      </c>
      <c r="E22" s="9" t="n">
        <v>50</v>
      </c>
      <c r="F22" s="9" t="inlineStr">
        <is>
          <t>TechCorp</t>
        </is>
      </c>
    </row>
    <row r="23">
      <c r="A23" s="9" t="inlineStr">
        <is>
          <t>P102</t>
        </is>
      </c>
      <c r="B23" s="9" t="inlineStr">
        <is>
          <t>Mouse</t>
        </is>
      </c>
      <c r="C23" s="9" t="inlineStr">
        <is>
          <t>Electronics</t>
        </is>
      </c>
      <c r="D23" s="12" t="n">
        <v>25</v>
      </c>
      <c r="E23" s="9" t="n">
        <v>200</v>
      </c>
      <c r="F23" s="9" t="inlineStr">
        <is>
          <t>TechCorp</t>
        </is>
      </c>
    </row>
    <row r="24">
      <c r="A24" s="9" t="inlineStr">
        <is>
          <t>P103</t>
        </is>
      </c>
      <c r="B24" s="9" t="inlineStr">
        <is>
          <t>Keyboard</t>
        </is>
      </c>
      <c r="C24" s="9" t="inlineStr">
        <is>
          <t>Electronics</t>
        </is>
      </c>
      <c r="D24" s="12" t="n">
        <v>75</v>
      </c>
      <c r="E24" s="9" t="n">
        <v>150</v>
      </c>
      <c r="F24" s="9" t="inlineStr">
        <is>
          <t>TechCorp</t>
        </is>
      </c>
    </row>
    <row r="25">
      <c r="A25" s="9" t="inlineStr">
        <is>
          <t>P104</t>
        </is>
      </c>
      <c r="B25" s="9" t="inlineStr">
        <is>
          <t>Desk</t>
        </is>
      </c>
      <c r="C25" s="9" t="inlineStr">
        <is>
          <t>Furniture</t>
        </is>
      </c>
      <c r="D25" s="12" t="n">
        <v>350</v>
      </c>
      <c r="E25" s="9" t="n">
        <v>30</v>
      </c>
      <c r="F25" s="9" t="inlineStr">
        <is>
          <t>OfficePro</t>
        </is>
      </c>
    </row>
    <row r="26">
      <c r="A26" s="9" t="inlineStr">
        <is>
          <t>P105</t>
        </is>
      </c>
      <c r="B26" s="9" t="inlineStr">
        <is>
          <t>Chair</t>
        </is>
      </c>
      <c r="C26" s="9" t="inlineStr">
        <is>
          <t>Furniture</t>
        </is>
      </c>
      <c r="D26" s="12" t="n">
        <v>250</v>
      </c>
      <c r="E26" s="9" t="n">
        <v>45</v>
      </c>
      <c r="F26" s="9" t="inlineStr">
        <is>
          <t>OfficePro</t>
        </is>
      </c>
    </row>
    <row r="27">
      <c r="A27" s="9" t="inlineStr">
        <is>
          <t>P106</t>
        </is>
      </c>
      <c r="B27" s="9" t="inlineStr">
        <is>
          <t>Notebook</t>
        </is>
      </c>
      <c r="C27" s="9" t="inlineStr">
        <is>
          <t>Supplies</t>
        </is>
      </c>
      <c r="D27" s="12" t="n">
        <v>5</v>
      </c>
      <c r="E27" s="9" t="n">
        <v>500</v>
      </c>
      <c r="F27" s="9" t="inlineStr">
        <is>
          <t>PaperCo</t>
        </is>
      </c>
    </row>
    <row r="28">
      <c r="A28" s="9" t="inlineStr">
        <is>
          <t>P107</t>
        </is>
      </c>
      <c r="B28" s="9" t="inlineStr">
        <is>
          <t>Pen Set</t>
        </is>
      </c>
      <c r="C28" s="9" t="inlineStr">
        <is>
          <t>Supplies</t>
        </is>
      </c>
      <c r="D28" s="12" t="n">
        <v>12</v>
      </c>
      <c r="E28" s="9" t="n">
        <v>300</v>
      </c>
      <c r="F28" s="9" t="inlineStr">
        <is>
          <t>PaperCo</t>
        </is>
      </c>
    </row>
    <row r="31">
      <c r="A31" s="15" t="inlineStr">
        <is>
          <t>📌 EXAMPLE 1: Basic INDEX Function</t>
        </is>
      </c>
    </row>
    <row r="33">
      <c r="A33" s="8" t="inlineStr">
        <is>
          <t>Task</t>
        </is>
      </c>
      <c r="B33" s="8" t="inlineStr">
        <is>
          <t>Row</t>
        </is>
      </c>
      <c r="C33" s="8" t="inlineStr">
        <is>
          <t>Column</t>
        </is>
      </c>
      <c r="D33" s="8" t="inlineStr">
        <is>
          <t>Result</t>
        </is>
      </c>
      <c r="E33" s="8" t="inlineStr">
        <is>
          <t>Formula</t>
        </is>
      </c>
    </row>
    <row r="34">
      <c r="A34" s="9" t="inlineStr">
        <is>
          <t>Get value in row 3, col 2</t>
        </is>
      </c>
      <c r="B34" s="9" t="n">
        <v>3</v>
      </c>
      <c r="C34" s="9" t="n">
        <v>2</v>
      </c>
      <c r="D34" s="9">
        <f t="array" ref="D34">INDEX($A$22:$F$28,B34,C34)</f>
        <v/>
      </c>
      <c r="E34" s="17">
        <f t="array" ref="E34">INDEX($A$22:$F$28,B34,C34)</f>
        <v/>
      </c>
    </row>
    <row r="35">
      <c r="A35" s="9" t="inlineStr">
        <is>
          <t>Get value in row 5, col 4</t>
        </is>
      </c>
      <c r="B35" s="9" t="n">
        <v>5</v>
      </c>
      <c r="C35" s="9" t="n">
        <v>4</v>
      </c>
      <c r="D35" s="9">
        <f t="array" ref="D35">INDEX($A$22:$F$28,B35,C35)</f>
        <v/>
      </c>
      <c r="E35" s="17">
        <f t="array" ref="E35">INDEX($A$22:$F$28,B35,C35)</f>
        <v/>
      </c>
    </row>
    <row r="38">
      <c r="A38" s="18" t="inlineStr">
        <is>
          <t>📌 EXAMPLE 2: Basic MATCH Function</t>
        </is>
      </c>
    </row>
    <row r="40">
      <c r="A40" s="8" t="inlineStr">
        <is>
          <t>Task</t>
        </is>
      </c>
      <c r="B40" s="8" t="inlineStr">
        <is>
          <t>Lookup Value</t>
        </is>
      </c>
      <c r="C40" s="8" t="inlineStr">
        <is>
          <t>Position</t>
        </is>
      </c>
      <c r="D40" s="8" t="inlineStr">
        <is>
          <t>Formula</t>
        </is>
      </c>
    </row>
    <row r="41">
      <c r="A41" s="9" t="inlineStr">
        <is>
          <t>Find position of 'P104'</t>
        </is>
      </c>
      <c r="B41" s="9" t="inlineStr">
        <is>
          <t>P104</t>
        </is>
      </c>
      <c r="C41" s="9">
        <f>MATCH(B41,$A$22:$A$28,0)</f>
        <v/>
      </c>
      <c r="D41" s="17">
        <f>MATCH(B41,$A$22:$A$28,0)</f>
        <v/>
      </c>
    </row>
    <row r="42">
      <c r="A42" s="9" t="inlineStr">
        <is>
          <t>Find position of 'Keyboard'</t>
        </is>
      </c>
      <c r="B42" s="9" t="inlineStr">
        <is>
          <t>Keyboard</t>
        </is>
      </c>
      <c r="C42" s="9">
        <f>MATCH(B42,$B$22:$B$28,0)</f>
        <v/>
      </c>
      <c r="D42" s="17">
        <f>MATCH(B42,$B$22:$B$28,0)</f>
        <v/>
      </c>
    </row>
    <row r="45">
      <c r="A45" s="20" t="inlineStr">
        <is>
          <t>📌 EXAMPLE 3: INDEX-MATCH Combination (The Power Combo!)</t>
        </is>
      </c>
    </row>
    <row r="47">
      <c r="A47" s="8" t="inlineStr">
        <is>
          <t>Task</t>
        </is>
      </c>
      <c r="B47" s="8" t="inlineStr">
        <is>
          <t>Lookup Value</t>
        </is>
      </c>
      <c r="C47" s="8" t="inlineStr">
        <is>
          <t>Result</t>
        </is>
      </c>
      <c r="D47" s="8" t="inlineStr">
        <is>
          <t>Formula</t>
        </is>
      </c>
    </row>
    <row r="48">
      <c r="A48" s="9" t="inlineStr">
        <is>
          <t>Find price for 'P103'</t>
        </is>
      </c>
      <c r="B48" s="9" t="inlineStr">
        <is>
          <t>P103</t>
        </is>
      </c>
      <c r="C48" s="12">
        <f>INDEX($D$22:$D$28,MATCH(B48,$A$22:$A$28,0))</f>
        <v/>
      </c>
      <c r="D48" s="17">
        <f>INDEX($D$22:$D$28,MATCH(B48,$A$22:$A$28,0))</f>
        <v/>
      </c>
    </row>
    <row r="49">
      <c r="A49" s="9" t="inlineStr">
        <is>
          <t>Find supplier for 'Chair'</t>
        </is>
      </c>
      <c r="B49" s="9" t="inlineStr">
        <is>
          <t>Chair</t>
        </is>
      </c>
      <c r="C49" s="9">
        <f>INDEX($F$22:$F$28,MATCH(B49,$B$22:$B$28,0))</f>
        <v/>
      </c>
      <c r="D49" s="17">
        <f>INDEX($F$22:$F$28,MATCH(B49,$B$22:$B$28,0))</f>
        <v/>
      </c>
    </row>
    <row r="50">
      <c r="A50" s="9" t="inlineStr">
        <is>
          <t>Find stock for 'Notebook'</t>
        </is>
      </c>
      <c r="B50" s="9" t="inlineStr">
        <is>
          <t>Notebook</t>
        </is>
      </c>
      <c r="C50" s="9">
        <f>INDEX($E$22:$E$28,MATCH(B50,$B$22:$B$28,0))</f>
        <v/>
      </c>
      <c r="D50" s="17">
        <f>INDEX($E$22:$E$28,MATCH(B50,$B$22:$B$28,0))</f>
        <v/>
      </c>
    </row>
    <row r="53">
      <c r="A53" s="15" t="inlineStr">
        <is>
          <t>📌 EXAMPLE 4: Two-Way Lookup with INDEX-MATCH-MATCH</t>
        </is>
      </c>
    </row>
    <row r="54">
      <c r="A54" s="23" t="inlineStr">
        <is>
          <t>Look up a value by both row AND column criteria</t>
        </is>
      </c>
    </row>
    <row r="56">
      <c r="A56" s="8" t="n"/>
      <c r="B56" s="8" t="inlineStr">
        <is>
          <t>Q1</t>
        </is>
      </c>
      <c r="C56" s="8" t="inlineStr">
        <is>
          <t>Q2</t>
        </is>
      </c>
      <c r="D56" s="8" t="inlineStr">
        <is>
          <t>Q3</t>
        </is>
      </c>
      <c r="E56" s="8" t="inlineStr">
        <is>
          <t>Q4</t>
        </is>
      </c>
    </row>
    <row r="57">
      <c r="A57" s="24" t="inlineStr">
        <is>
          <t>North</t>
        </is>
      </c>
      <c r="B57" s="12" t="n">
        <v>45000</v>
      </c>
      <c r="C57" s="12" t="n">
        <v>52000</v>
      </c>
      <c r="D57" s="12" t="n">
        <v>48000</v>
      </c>
      <c r="E57" s="12" t="n">
        <v>61000</v>
      </c>
    </row>
    <row r="58">
      <c r="A58" s="24" t="inlineStr">
        <is>
          <t>South</t>
        </is>
      </c>
      <c r="B58" s="12" t="n">
        <v>38000</v>
      </c>
      <c r="C58" s="12" t="n">
        <v>41000</v>
      </c>
      <c r="D58" s="12" t="n">
        <v>45000</v>
      </c>
      <c r="E58" s="12" t="n">
        <v>50000</v>
      </c>
    </row>
    <row r="59">
      <c r="A59" s="24" t="inlineStr">
        <is>
          <t>East</t>
        </is>
      </c>
      <c r="B59" s="12" t="n">
        <v>55000</v>
      </c>
      <c r="C59" s="12" t="n">
        <v>58000</v>
      </c>
      <c r="D59" s="12" t="n">
        <v>62000</v>
      </c>
      <c r="E59" s="12" t="n">
        <v>70000</v>
      </c>
    </row>
    <row r="60">
      <c r="A60" s="24" t="inlineStr">
        <is>
          <t>West</t>
        </is>
      </c>
      <c r="B60" s="12" t="n">
        <v>42000</v>
      </c>
      <c r="C60" s="12" t="n">
        <v>47000</v>
      </c>
      <c r="D60" s="12" t="n">
        <v>51000</v>
      </c>
      <c r="E60" s="12" t="n">
        <v>55000</v>
      </c>
    </row>
    <row r="62">
      <c r="A62" s="8" t="inlineStr">
        <is>
          <t>Region</t>
        </is>
      </c>
      <c r="B62" s="8" t="inlineStr">
        <is>
          <t>Quarter</t>
        </is>
      </c>
      <c r="C62" s="8" t="inlineStr">
        <is>
          <t>Sales</t>
        </is>
      </c>
      <c r="D62" s="8" t="inlineStr">
        <is>
          <t>Formula</t>
        </is>
      </c>
    </row>
    <row r="63">
      <c r="A63" s="9" t="inlineStr">
        <is>
          <t>East</t>
        </is>
      </c>
      <c r="B63" s="9" t="inlineStr">
        <is>
          <t>Q3</t>
        </is>
      </c>
      <c r="C63" s="12">
        <f>INDEX($B$57:$E$60,MATCH(A63,$A$57:$A$60,0),MATCH(B63,$B$56:$E$56,0))</f>
        <v/>
      </c>
      <c r="D63" s="22">
        <f>INDEX($B$57:$E$60,MATCH(A63,$A$57:$A$60,0),MATCH(B63,$B$56:$E$56,0))</f>
        <v/>
      </c>
    </row>
  </sheetData>
  <mergeCells count="6">
    <mergeCell ref="A38:F38"/>
    <mergeCell ref="A19:F19"/>
    <mergeCell ref="A45:F45"/>
    <mergeCell ref="A31:F31"/>
    <mergeCell ref="A1:H1"/>
    <mergeCell ref="A53:F5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:H1"/>
    </sheetView>
  </sheetViews>
  <sheetFormatPr baseColWidth="10" defaultRowHeight="16"/>
  <cols>
    <col width="25" customWidth="1" style="1" min="1" max="1"/>
    <col width="23.33203125" customWidth="1" style="1" min="2" max="2"/>
    <col width="16.6640625" customWidth="1" style="1" min="3" max="3"/>
    <col width="41.6640625" customWidth="1" style="1" min="4" max="4"/>
  </cols>
  <sheetData>
    <row r="1" ht="35" customHeight="1" s="1">
      <c r="A1" s="13" t="inlineStr">
        <is>
          <t>🔗 INDIRECT Function - Dynamic Cell References</t>
        </is>
      </c>
    </row>
    <row r="3">
      <c r="A3" s="14" t="inlineStr">
        <is>
          <t>💡 KEY CONCEPTS</t>
        </is>
      </c>
    </row>
    <row r="5">
      <c r="A5" t="inlineStr">
        <is>
          <t>INDIRECT Function: Returns the reference specified by a text string</t>
        </is>
      </c>
    </row>
    <row r="6">
      <c r="A6" t="inlineStr">
        <is>
          <t xml:space="preserve">   Syntax: INDIRECT(ref_text, [a1_style])</t>
        </is>
      </c>
    </row>
    <row r="7">
      <c r="A7" t="inlineStr">
        <is>
          <t xml:space="preserve">   ref_text: A text string that represents a cell reference</t>
        </is>
      </c>
    </row>
    <row r="8">
      <c r="A8" t="inlineStr">
        <is>
          <t xml:space="preserve">   a1_style: TRUE (default) for A1 style, FALSE for R1C1 style</t>
        </is>
      </c>
    </row>
    <row r="10">
      <c r="A10" t="inlineStr">
        <is>
          <t>✓ Create dynamic references that change based on cell values</t>
        </is>
      </c>
    </row>
    <row r="11">
      <c r="A11" t="inlineStr">
        <is>
          <t>✓ Reference different sheets dynamically</t>
        </is>
      </c>
    </row>
    <row r="12">
      <c r="A12" t="inlineStr">
        <is>
          <t>✓ Build references from concatenated text</t>
        </is>
      </c>
    </row>
    <row r="13">
      <c r="A13" t="inlineStr">
        <is>
          <t>✓ Perfect for creating flexible, interactive reports</t>
        </is>
      </c>
    </row>
    <row r="15">
      <c r="A15" s="11" t="inlineStr">
        <is>
          <t>📊 SAMPLE DATA</t>
        </is>
      </c>
    </row>
    <row r="17">
      <c r="A17" s="8" t="inlineStr">
        <is>
          <t>Month</t>
        </is>
      </c>
      <c r="B17" s="8" t="inlineStr">
        <is>
          <t>Sales</t>
        </is>
      </c>
      <c r="C17" s="8" t="inlineStr">
        <is>
          <t>Expenses</t>
        </is>
      </c>
      <c r="D17" s="8" t="inlineStr">
        <is>
          <t>Profit</t>
        </is>
      </c>
    </row>
    <row r="18">
      <c r="A18" s="9" t="inlineStr">
        <is>
          <t>January</t>
        </is>
      </c>
      <c r="B18" s="12" t="n">
        <v>15000</v>
      </c>
      <c r="C18" s="12" t="n">
        <v>8000</v>
      </c>
      <c r="D18" s="12" t="n">
        <v>7000</v>
      </c>
    </row>
    <row r="19">
      <c r="A19" s="9" t="inlineStr">
        <is>
          <t>February</t>
        </is>
      </c>
      <c r="B19" s="12" t="n">
        <v>18000</v>
      </c>
      <c r="C19" s="12" t="n">
        <v>9500</v>
      </c>
      <c r="D19" s="12" t="n">
        <v>8500</v>
      </c>
    </row>
    <row r="20">
      <c r="A20" s="9" t="inlineStr">
        <is>
          <t>March</t>
        </is>
      </c>
      <c r="B20" s="12" t="n">
        <v>22000</v>
      </c>
      <c r="C20" s="12" t="n">
        <v>11000</v>
      </c>
      <c r="D20" s="12" t="n">
        <v>11000</v>
      </c>
    </row>
    <row r="21">
      <c r="A21" s="9" t="inlineStr">
        <is>
          <t>April</t>
        </is>
      </c>
      <c r="B21" s="12" t="n">
        <v>19000</v>
      </c>
      <c r="C21" s="12" t="n">
        <v>9000</v>
      </c>
      <c r="D21" s="12" t="n">
        <v>10000</v>
      </c>
    </row>
    <row r="22">
      <c r="A22" s="9" t="inlineStr">
        <is>
          <t>May</t>
        </is>
      </c>
      <c r="B22" s="12" t="n">
        <v>25000</v>
      </c>
      <c r="C22" s="12" t="n">
        <v>12000</v>
      </c>
      <c r="D22" s="12" t="n">
        <v>13000</v>
      </c>
    </row>
    <row r="25">
      <c r="A25" s="15" t="inlineStr">
        <is>
          <t>📌 EXAMPLE 1: Basic INDIRECT - Reference from Text</t>
        </is>
      </c>
    </row>
    <row r="27">
      <c r="A27" s="8" t="inlineStr">
        <is>
          <t>Cell Reference (Text)</t>
        </is>
      </c>
      <c r="B27" s="8" t="inlineStr">
        <is>
          <t>Result</t>
        </is>
      </c>
      <c r="C27" s="8" t="inlineStr">
        <is>
          <t>Formula</t>
        </is>
      </c>
      <c r="D27" s="8" t="inlineStr">
        <is>
          <t>Explanation</t>
        </is>
      </c>
    </row>
    <row r="28">
      <c r="A28" s="9" t="inlineStr">
        <is>
          <t>B18</t>
        </is>
      </c>
      <c r="B28" s="12">
        <f t="array" ref="B28">INDIRECT(A28)</f>
        <v/>
      </c>
      <c r="C28" s="17">
        <f t="array" ref="C28">INDIRECT(A28)</f>
        <v/>
      </c>
      <c r="D28" s="9" t="inlineStr">
        <is>
          <t>Gets value from cell B18</t>
        </is>
      </c>
    </row>
    <row r="29">
      <c r="A29" s="9" t="inlineStr">
        <is>
          <t>D20</t>
        </is>
      </c>
      <c r="B29" s="12">
        <f t="array" ref="B29">INDIRECT(A29)</f>
        <v/>
      </c>
      <c r="C29" s="17">
        <f t="array" ref="C29">INDIRECT(A29)</f>
        <v/>
      </c>
      <c r="D29" s="9" t="inlineStr">
        <is>
          <t>Gets value from cell D20</t>
        </is>
      </c>
    </row>
    <row r="32">
      <c r="A32" s="18" t="inlineStr">
        <is>
          <t>📌 EXAMPLE 2: Dynamic Column Selection</t>
        </is>
      </c>
    </row>
    <row r="33">
      <c r="A33" s="23" t="inlineStr">
        <is>
          <t>Select a column letter to sum that entire column!</t>
        </is>
      </c>
    </row>
    <row r="35">
      <c r="A35" s="8" t="inlineStr">
        <is>
          <t>Select Column</t>
        </is>
      </c>
      <c r="B35" s="8" t="inlineStr">
        <is>
          <t>Column Sum</t>
        </is>
      </c>
      <c r="C35" s="8" t="inlineStr">
        <is>
          <t>Formula</t>
        </is>
      </c>
    </row>
    <row r="36">
      <c r="A36" s="9" t="inlineStr">
        <is>
          <t>B</t>
        </is>
      </c>
      <c r="B36" s="12">
        <f>SUM(INDIRECT(A36&amp;"18:"&amp;A36&amp;"22"))</f>
        <v/>
      </c>
      <c r="C36" s="17">
        <f>SUM(INDIRECT(A36&amp;"18:"&amp;A36&amp;"22"))</f>
        <v/>
      </c>
    </row>
    <row r="37">
      <c r="A37" s="9" t="inlineStr">
        <is>
          <t>C</t>
        </is>
      </c>
      <c r="B37" s="12">
        <f>SUM(INDIRECT(A37&amp;"18:"&amp;A37&amp;"22"))</f>
        <v/>
      </c>
      <c r="C37" s="17">
        <f>SUM(INDIRECT(A37&amp;"18:"&amp;A37&amp;"22"))</f>
        <v/>
      </c>
    </row>
    <row r="38">
      <c r="A38" s="9" t="inlineStr">
        <is>
          <t>D</t>
        </is>
      </c>
      <c r="B38" s="12">
        <f>SUM(INDIRECT(A38&amp;"18:"&amp;A38&amp;"22"))</f>
        <v/>
      </c>
      <c r="C38" s="17">
        <f>SUM(INDIRECT(A38&amp;"18:"&amp;A38&amp;"22"))</f>
        <v/>
      </c>
    </row>
    <row r="41">
      <c r="A41" s="20" t="inlineStr">
        <is>
          <t>📌 EXAMPLE 3: INDIRECT with Named Ranges</t>
        </is>
      </c>
    </row>
    <row r="42">
      <c r="A42" s="23" t="inlineStr">
        <is>
          <t>Use text to reference named ranges dynamically</t>
        </is>
      </c>
    </row>
    <row r="44">
      <c r="A44" s="8" t="inlineStr">
        <is>
          <t>Month Name</t>
        </is>
      </c>
      <c r="B44" s="8" t="inlineStr">
        <is>
          <t>Named Range Text</t>
        </is>
      </c>
      <c r="C44" s="8" t="inlineStr">
        <is>
          <t>Result</t>
        </is>
      </c>
      <c r="D44" s="8" t="inlineStr">
        <is>
          <t>Formula</t>
        </is>
      </c>
    </row>
    <row r="45">
      <c r="A45" s="9" t="inlineStr">
        <is>
          <t>January</t>
        </is>
      </c>
      <c r="B45" s="9" t="inlineStr">
        <is>
          <t>JanSales</t>
        </is>
      </c>
      <c r="C45" s="12">
        <f t="array" ref="C45">INDIRECT(B45)</f>
        <v/>
      </c>
      <c r="D45" s="17">
        <f t="array" ref="D45">INDIRECT(B45)</f>
        <v/>
      </c>
    </row>
    <row r="46">
      <c r="A46" s="9" t="inlineStr">
        <is>
          <t>February</t>
        </is>
      </c>
      <c r="B46" s="9" t="inlineStr">
        <is>
          <t>FebSales</t>
        </is>
      </c>
      <c r="C46" s="12">
        <f t="array" ref="C46">INDIRECT(B46)</f>
        <v/>
      </c>
      <c r="D46" s="17">
        <f t="array" ref="D46">INDIRECT(B46)</f>
        <v/>
      </c>
    </row>
    <row r="47">
      <c r="A47" s="9" t="inlineStr">
        <is>
          <t>March</t>
        </is>
      </c>
      <c r="B47" s="9" t="inlineStr">
        <is>
          <t>MarSales</t>
        </is>
      </c>
      <c r="C47" s="12">
        <f t="array" ref="C47">INDIRECT(B47)</f>
        <v/>
      </c>
      <c r="D47" s="17">
        <f t="array" ref="D47">INDIRECT(B47)</f>
        <v/>
      </c>
    </row>
  </sheetData>
  <mergeCells count="5">
    <mergeCell ref="A41:F41"/>
    <mergeCell ref="A15:E15"/>
    <mergeCell ref="A32:F32"/>
    <mergeCell ref="A1:H1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:H1"/>
    </sheetView>
  </sheetViews>
  <sheetFormatPr baseColWidth="10" defaultRowHeight="16"/>
  <cols>
    <col width="21.6640625" customWidth="1" style="1" min="1" max="1"/>
    <col width="16.6640625" customWidth="1" style="1" min="2" max="2"/>
    <col width="41.6640625" customWidth="1" style="1" min="3" max="3"/>
    <col width="33.33203125" customWidth="1" style="1" min="4" max="4"/>
    <col width="50" customWidth="1" style="1" min="5" max="5"/>
  </cols>
  <sheetData>
    <row r="1" ht="35" customHeight="1" s="1">
      <c r="A1" s="13" t="inlineStr">
        <is>
          <t>⚡ LET Function - Improved Efficiency and Clarity</t>
        </is>
      </c>
    </row>
    <row r="3">
      <c r="A3" s="14" t="inlineStr">
        <is>
          <t>💡 KEY CONCEPTS</t>
        </is>
      </c>
    </row>
    <row r="5">
      <c r="A5" t="inlineStr">
        <is>
          <t>LET Function: Assigns names to calculation results within a formula</t>
        </is>
      </c>
    </row>
    <row r="6">
      <c r="A6" t="inlineStr">
        <is>
          <t xml:space="preserve">   Syntax: LET(name1, value1, [name2, value2, ...], calculation)</t>
        </is>
      </c>
    </row>
    <row r="8">
      <c r="A8" t="inlineStr">
        <is>
          <t>✓ Improves readability by naming intermediate calculations</t>
        </is>
      </c>
    </row>
    <row r="9">
      <c r="A9" t="inlineStr">
        <is>
          <t>✓ Improves performance by calculating repeated expressions only once</t>
        </is>
      </c>
    </row>
    <row r="10">
      <c r="A10" t="inlineStr">
        <is>
          <t>✓ Makes complex formulas easier to understand and debug</t>
        </is>
      </c>
    </row>
    <row r="11">
      <c r="A11" t="inlineStr">
        <is>
          <t>✓ Reduces formula length when same calculation is used multiple times</t>
        </is>
      </c>
    </row>
    <row r="13">
      <c r="A13" s="26" t="inlineStr">
        <is>
          <t>Example Structure:</t>
        </is>
      </c>
    </row>
    <row r="14">
      <c r="A14" s="26" t="inlineStr">
        <is>
          <t xml:space="preserve">   =LET(</t>
        </is>
      </c>
    </row>
    <row r="15">
      <c r="A15" s="26" t="inlineStr">
        <is>
          <t xml:space="preserve">       x, A1*2,           ← Define variable 'x' as A1 multiplied by 2</t>
        </is>
      </c>
    </row>
    <row r="16">
      <c r="A16" s="26" t="inlineStr">
        <is>
          <t xml:space="preserve">       y, B1+10,          ← Define variable 'y' as B1 plus 10</t>
        </is>
      </c>
    </row>
    <row r="17">
      <c r="A17" s="26" t="inlineStr">
        <is>
          <t xml:space="preserve">       x + y              ← Final calculation using the variables</t>
        </is>
      </c>
    </row>
    <row r="18">
      <c r="A18" s="26" t="inlineStr">
        <is>
          <t xml:space="preserve">   )</t>
        </is>
      </c>
    </row>
    <row r="20">
      <c r="A20" s="27" t="inlineStr">
        <is>
          <t>📊 SAMPLE DATA - Employee Performance</t>
        </is>
      </c>
    </row>
    <row r="22">
      <c r="A22" s="8" t="inlineStr">
        <is>
          <t>Employee</t>
        </is>
      </c>
      <c r="B22" s="8" t="inlineStr">
        <is>
          <t>Base Salary</t>
        </is>
      </c>
      <c r="C22" s="8" t="inlineStr">
        <is>
          <t>Sales</t>
        </is>
      </c>
      <c r="D22" s="8" t="inlineStr">
        <is>
          <t>Target</t>
        </is>
      </c>
      <c r="E22" s="8" t="inlineStr">
        <is>
          <t>Bonus Rate</t>
        </is>
      </c>
    </row>
    <row r="23">
      <c r="A23" s="9" t="inlineStr">
        <is>
          <t>Alice</t>
        </is>
      </c>
      <c r="B23" s="12" t="n">
        <v>50000</v>
      </c>
      <c r="C23" s="12" t="n">
        <v>120000</v>
      </c>
      <c r="D23" s="12" t="n">
        <v>100000</v>
      </c>
      <c r="E23" s="28" t="n">
        <v>0.05</v>
      </c>
    </row>
    <row r="24">
      <c r="A24" s="9" t="inlineStr">
        <is>
          <t>Bob</t>
        </is>
      </c>
      <c r="B24" s="12" t="n">
        <v>45000</v>
      </c>
      <c r="C24" s="12" t="n">
        <v>85000</v>
      </c>
      <c r="D24" s="12" t="n">
        <v>100000</v>
      </c>
      <c r="E24" s="28" t="n">
        <v>0.05</v>
      </c>
    </row>
    <row r="25">
      <c r="A25" s="9" t="inlineStr">
        <is>
          <t>Carol</t>
        </is>
      </c>
      <c r="B25" s="12" t="n">
        <v>55000</v>
      </c>
      <c r="C25" s="12" t="n">
        <v>150000</v>
      </c>
      <c r="D25" s="12" t="n">
        <v>100000</v>
      </c>
      <c r="E25" s="28" t="n">
        <v>0.05</v>
      </c>
    </row>
    <row r="26">
      <c r="A26" s="9" t="inlineStr">
        <is>
          <t>David</t>
        </is>
      </c>
      <c r="B26" s="12" t="n">
        <v>48000</v>
      </c>
      <c r="C26" s="12" t="n">
        <v>95000</v>
      </c>
      <c r="D26" s="12" t="n">
        <v>100000</v>
      </c>
      <c r="E26" s="28" t="n">
        <v>0.05</v>
      </c>
    </row>
    <row r="27">
      <c r="A27" s="9" t="inlineStr">
        <is>
          <t>Emma</t>
        </is>
      </c>
      <c r="B27" s="12" t="n">
        <v>52000</v>
      </c>
      <c r="C27" s="12" t="n">
        <v>180000</v>
      </c>
      <c r="D27" s="12" t="n">
        <v>100000</v>
      </c>
      <c r="E27" s="28" t="n">
        <v>0.05</v>
      </c>
    </row>
    <row r="30">
      <c r="A30" s="15" t="inlineStr">
        <is>
          <t>📌 EXAMPLE 1: Bonus Calculation - Without LET vs With LET</t>
        </is>
      </c>
    </row>
    <row r="31">
      <c r="A31" s="23" t="inlineStr">
        <is>
          <t>Task: Calculate bonus = (Sales - Target) × Bonus Rate, but only if Sales &gt; Target</t>
        </is>
      </c>
    </row>
    <row r="33">
      <c r="A33" s="8" t="inlineStr">
        <is>
          <t>Employee</t>
        </is>
      </c>
      <c r="B33" s="8" t="inlineStr">
        <is>
          <t>Without LET</t>
        </is>
      </c>
      <c r="C33" s="8" t="inlineStr">
        <is>
          <t>With LET</t>
        </is>
      </c>
      <c r="D33" s="8" t="inlineStr">
        <is>
          <t>Formula (Without LET)</t>
        </is>
      </c>
      <c r="E33" s="8" t="inlineStr">
        <is>
          <t>Formula (With LET)</t>
        </is>
      </c>
    </row>
    <row r="34">
      <c r="A34" s="9" t="inlineStr">
        <is>
          <t>Alice</t>
        </is>
      </c>
      <c r="B34" s="12">
        <f>IF(C23&gt;D23,(C23-D23)*E23,0)</f>
        <v/>
      </c>
      <c r="C34" s="12">
        <f>_xlfn.LET(_xlpm.sales,C23,_xlpm.target,D23,_xlpm.rate,E23,_xlpm.excess,_xlpm.sales-_xlpm.target,IF(_xlpm.excess&gt;0,_xlpm.excess*_xlpm.rate,0))</f>
        <v/>
      </c>
      <c r="D34" s="29">
        <f>IF(C23&gt;D23,(C23-D23)*E23,0)</f>
        <v/>
      </c>
      <c r="E34" s="30">
        <f>_xlfn.LET(_xlpm.sales,C23,_xlpm.target,D23,_xlpm.rate,E23,_xlpm.excess,_xlpm.sales-_xlpm.target,IF(_xlpm.excess&gt;0,_xlpm.excess*_xlpm.rate,0))</f>
        <v/>
      </c>
    </row>
    <row r="35">
      <c r="A35" s="9" t="inlineStr">
        <is>
          <t>Bob</t>
        </is>
      </c>
      <c r="B35" s="12">
        <f>IF(C24&gt;D24,(C24-D24)*E24,0)</f>
        <v/>
      </c>
      <c r="C35" s="12">
        <f>_xlfn.LET(_xlpm.sales,C24,_xlpm.target,D24,_xlpm.rate,E24,_xlpm.excess,_xlpm.sales-_xlpm.target,IF(_xlpm.excess&gt;0,_xlpm.excess*_xlpm.rate,0))</f>
        <v/>
      </c>
      <c r="D35" s="29" t="inlineStr">
        <is>
          <t>(same pattern)</t>
        </is>
      </c>
      <c r="E35" s="30" t="inlineStr">
        <is>
          <t>(same pattern)</t>
        </is>
      </c>
    </row>
    <row r="36">
      <c r="A36" s="9" t="inlineStr">
        <is>
          <t>Carol</t>
        </is>
      </c>
      <c r="B36" s="12">
        <f>IF(C25&gt;D25,(C25-D25)*E25,0)</f>
        <v/>
      </c>
      <c r="C36" s="12">
        <f>_xlfn.LET(_xlpm.sales,C25,_xlpm.target,D25,_xlpm.rate,E25,_xlpm.excess,_xlpm.sales-_xlpm.target,IF(_xlpm.excess&gt;0,_xlpm.excess*_xlpm.rate,0))</f>
        <v/>
      </c>
      <c r="D36" s="29" t="inlineStr">
        <is>
          <t>(same pattern)</t>
        </is>
      </c>
      <c r="E36" s="30" t="inlineStr">
        <is>
          <t>(same pattern)</t>
        </is>
      </c>
    </row>
    <row r="39">
      <c r="A39" s="18" t="inlineStr">
        <is>
          <t>📌 EXAMPLE 2: LET with INDEX-MATCH - Clean Lookup Formulas</t>
        </is>
      </c>
    </row>
    <row r="40">
      <c r="A40" s="23" t="inlineStr">
        <is>
          <t>LET makes complex lookups more readable by naming the match position</t>
        </is>
      </c>
    </row>
    <row r="42">
      <c r="A42" s="8" t="inlineStr">
        <is>
          <t>Lookup Employee</t>
        </is>
      </c>
      <c r="B42" s="8" t="inlineStr">
        <is>
          <t>Total Comp (LET)</t>
        </is>
      </c>
      <c r="C42" s="8" t="inlineStr">
        <is>
          <t>Formula</t>
        </is>
      </c>
    </row>
    <row r="43">
      <c r="A43" s="9" t="inlineStr">
        <is>
          <t>Carol</t>
        </is>
      </c>
      <c r="B43" s="12">
        <f>_xlfn.LET(_xlpm.pos,MATCH(A43,$A$23:$A$27,0),_xlpm.base,INDEX($B$23:$B$27,_xlpm.pos),_xlpm.sales,INDEX($C$23:$C$27,_xlpm.pos),_xlpm.target,INDEX($D$23:$D$27,_xlpm.pos),_xlpm.rate,INDEX($E$23:$E$27,_xlpm.pos),_xlpm.bonus,IF(_xlpm.sales&gt;_xlpm.target,(_xlpm.sales-_xlpm.target)*_xlpm.rate,0),_xlpm.base+_xlpm.bonus)</f>
        <v/>
      </c>
      <c r="C43" s="17" t="inlineStr">
        <is>
          <t>LET names: pos, base, sales, target, rate, bonus</t>
        </is>
      </c>
    </row>
    <row r="44">
      <c r="A44" s="9" t="inlineStr">
        <is>
          <t>Emma</t>
        </is>
      </c>
      <c r="B44" s="12">
        <f>_xlfn.LET(_xlpm.pos,MATCH(A44,$A$23:$A$27,0),_xlpm.base,INDEX($B$23:$B$27,_xlpm.pos),_xlpm.sales,INDEX($C$23:$C$27,_xlpm.pos),_xlpm.target,INDEX($D$23:$D$27,_xlpm.pos),_xlpm.rate,INDEX($E$23:$E$27,_xlpm.pos),_xlpm.bonus,IF(_xlpm.sales&gt;_xlpm.target,(_xlpm.sales-_xlpm.target)*_xlpm.rate,0),_xlpm.base+_xlpm.bonus)</f>
        <v/>
      </c>
      <c r="C44" s="17" t="inlineStr">
        <is>
          <t>See full formula in cell B43</t>
        </is>
      </c>
    </row>
    <row r="47">
      <c r="A47" s="11" t="inlineStr">
        <is>
          <t>✅ BENEFITS OF USING LET</t>
        </is>
      </c>
    </row>
    <row r="49">
      <c r="A49" s="8" t="inlineStr">
        <is>
          <t>Benefit</t>
        </is>
      </c>
      <c r="B49" s="8" t="inlineStr">
        <is>
          <t>Description</t>
        </is>
      </c>
      <c r="C49" s="8" t="inlineStr">
        <is>
          <t>Example</t>
        </is>
      </c>
    </row>
    <row r="50">
      <c r="A50" s="9" t="inlineStr">
        <is>
          <t>Readability</t>
        </is>
      </c>
      <c r="B50" s="9" t="inlineStr">
        <is>
          <t>Name calculations instead of repeating formulas</t>
        </is>
      </c>
      <c r="C50" s="9" t="inlineStr">
        <is>
          <t>sales instead of C23</t>
        </is>
      </c>
    </row>
    <row r="51">
      <c r="A51" s="9" t="inlineStr">
        <is>
          <t>Performance</t>
        </is>
      </c>
      <c r="B51" s="9" t="inlineStr">
        <is>
          <t>Calculate once, use multiple times</t>
        </is>
      </c>
      <c r="C51" s="9" t="inlineStr">
        <is>
          <t>Avoid recalculating MATCH</t>
        </is>
      </c>
    </row>
    <row r="52">
      <c r="A52" s="9" t="inlineStr">
        <is>
          <t>Debugging</t>
        </is>
      </c>
      <c r="B52" s="9" t="inlineStr">
        <is>
          <t>Easier to identify which part fails</t>
        </is>
      </c>
      <c r="C52" s="9" t="inlineStr">
        <is>
          <t>Test each named variable</t>
        </is>
      </c>
    </row>
    <row r="53">
      <c r="A53" s="9" t="inlineStr">
        <is>
          <t>Maintenance</t>
        </is>
      </c>
      <c r="B53" s="9" t="inlineStr">
        <is>
          <t>Change in one place affects all uses</t>
        </is>
      </c>
      <c r="C53" s="9" t="inlineStr">
        <is>
          <t>Update 'rate' definition once</t>
        </is>
      </c>
    </row>
  </sheetData>
  <mergeCells count="7">
    <mergeCell ref="A30:H30"/>
    <mergeCell ref="A39:H39"/>
    <mergeCell ref="A47:E47"/>
    <mergeCell ref="A1:H1"/>
    <mergeCell ref="A20:F20"/>
    <mergeCell ref="A31:H31"/>
    <mergeCell ref="A40:H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:G1"/>
    </sheetView>
  </sheetViews>
  <sheetFormatPr baseColWidth="10" defaultRowHeight="16"/>
  <cols>
    <col width="13.33203125" customWidth="1" style="1" min="1" max="1"/>
    <col width="20" customWidth="1" style="1" min="2" max="2"/>
    <col width="11.6640625" customWidth="1" style="1" min="3" max="4"/>
    <col width="13.33203125" customWidth="1" style="1" min="5" max="5"/>
    <col width="16.6640625" customWidth="1" style="1" min="6" max="6"/>
    <col width="15" customWidth="1" style="1" min="7" max="7"/>
    <col width="11.6640625" customWidth="1" style="1" min="8" max="8"/>
    <col width="16" customWidth="1" style="1" min="9" max="9"/>
  </cols>
  <sheetData>
    <row r="1" ht="19" customHeight="1" s="1">
      <c r="A1" s="40" t="inlineStr">
        <is>
          <t>📊 STUDENT GRADES DATABASE</t>
        </is>
      </c>
    </row>
    <row r="2"/>
    <row r="3">
      <c r="A3" s="37" t="inlineStr">
        <is>
          <t>StudentID</t>
        </is>
      </c>
      <c r="B3" s="37" t="inlineStr">
        <is>
          <t>Name</t>
        </is>
      </c>
      <c r="C3" s="37" t="inlineStr">
        <is>
          <t>Math</t>
        </is>
      </c>
      <c r="D3" s="37" t="inlineStr">
        <is>
          <t>Science</t>
        </is>
      </c>
      <c r="E3" s="37" t="inlineStr">
        <is>
          <t>English</t>
        </is>
      </c>
      <c r="F3" s="37" t="inlineStr">
        <is>
          <t>Attendance%</t>
        </is>
      </c>
      <c r="G3" s="37" t="inlineStr">
        <is>
          <t>ExtraCurricular</t>
        </is>
      </c>
    </row>
    <row r="4">
      <c r="A4" s="38" t="inlineStr">
        <is>
          <t>S001</t>
        </is>
      </c>
      <c r="B4" s="38" t="inlineStr">
        <is>
          <t>Alice Johnson</t>
        </is>
      </c>
      <c r="C4" s="38" t="n">
        <v>92</v>
      </c>
      <c r="D4" s="38" t="n">
        <v>88</v>
      </c>
      <c r="E4" s="38" t="n">
        <v>95</v>
      </c>
      <c r="F4" s="38" t="n">
        <v>98</v>
      </c>
      <c r="G4" s="38" t="inlineStr">
        <is>
          <t>Yes</t>
        </is>
      </c>
    </row>
    <row r="5">
      <c r="A5" s="38" t="inlineStr">
        <is>
          <t>S002</t>
        </is>
      </c>
      <c r="B5" s="38" t="inlineStr">
        <is>
          <t>Bob Smith</t>
        </is>
      </c>
      <c r="C5" s="38" t="n">
        <v>78</v>
      </c>
      <c r="D5" s="38" t="n">
        <v>82</v>
      </c>
      <c r="E5" s="38" t="n">
        <v>75</v>
      </c>
      <c r="F5" s="38" t="n">
        <v>85</v>
      </c>
      <c r="G5" s="38" t="inlineStr">
        <is>
          <t>No</t>
        </is>
      </c>
    </row>
    <row r="6">
      <c r="A6" s="38" t="inlineStr">
        <is>
          <t>S003</t>
        </is>
      </c>
      <c r="B6" s="38" t="inlineStr">
        <is>
          <t>Carol Davis</t>
        </is>
      </c>
      <c r="C6" s="38" t="n">
        <v>65</v>
      </c>
      <c r="D6" s="38" t="n">
        <v>70</v>
      </c>
      <c r="E6" s="38" t="n">
        <v>68</v>
      </c>
      <c r="F6" s="38" t="n">
        <v>72</v>
      </c>
      <c r="G6" s="38" t="inlineStr">
        <is>
          <t>Yes</t>
        </is>
      </c>
    </row>
    <row r="7">
      <c r="A7" s="38" t="inlineStr">
        <is>
          <t>S004</t>
        </is>
      </c>
      <c r="B7" s="38" t="inlineStr">
        <is>
          <t>David Wilson</t>
        </is>
      </c>
      <c r="C7" s="38" t="n">
        <v>88</v>
      </c>
      <c r="D7" s="38" t="n">
        <v>91</v>
      </c>
      <c r="E7" s="38" t="n">
        <v>85</v>
      </c>
      <c r="F7" s="38" t="n">
        <v>95</v>
      </c>
      <c r="G7" s="38" t="inlineStr">
        <is>
          <t>Yes</t>
        </is>
      </c>
    </row>
    <row r="8">
      <c r="A8" s="38" t="inlineStr">
        <is>
          <t>S005</t>
        </is>
      </c>
      <c r="B8" s="38" t="inlineStr">
        <is>
          <t>Emma Brown</t>
        </is>
      </c>
      <c r="C8" s="38" t="n">
        <v>45</v>
      </c>
      <c r="D8" s="38" t="n">
        <v>52</v>
      </c>
      <c r="E8" s="38" t="n">
        <v>48</v>
      </c>
      <c r="F8" s="38" t="n">
        <v>60</v>
      </c>
      <c r="G8" s="38" t="inlineStr">
        <is>
          <t>No</t>
        </is>
      </c>
    </row>
    <row r="9">
      <c r="A9" s="38" t="inlineStr">
        <is>
          <t>S006</t>
        </is>
      </c>
      <c r="B9" s="38" t="inlineStr">
        <is>
          <t>Frank Miller</t>
        </is>
      </c>
      <c r="C9" s="38" t="n">
        <v>72</v>
      </c>
      <c r="D9" s="38" t="n">
        <v>68</v>
      </c>
      <c r="E9" s="38" t="n">
        <v>74</v>
      </c>
      <c r="F9" s="38" t="n">
        <v>80</v>
      </c>
      <c r="G9" s="38" t="inlineStr">
        <is>
          <t>No</t>
        </is>
      </c>
    </row>
    <row r="10">
      <c r="A10" s="38" t="inlineStr">
        <is>
          <t>S007</t>
        </is>
      </c>
      <c r="B10" s="38" t="inlineStr">
        <is>
          <t>Grace Lee</t>
        </is>
      </c>
      <c r="C10" s="38" t="n">
        <v>95</v>
      </c>
      <c r="D10" s="38" t="n">
        <v>98</v>
      </c>
      <c r="E10" s="38" t="n">
        <v>92</v>
      </c>
      <c r="F10" s="38" t="n">
        <v>100</v>
      </c>
      <c r="G10" s="38" t="inlineStr">
        <is>
          <t>Yes</t>
        </is>
      </c>
    </row>
    <row r="11">
      <c r="A11" s="38" t="inlineStr">
        <is>
          <t>S008</t>
        </is>
      </c>
      <c r="B11" s="38" t="inlineStr">
        <is>
          <t>Henry Taylor</t>
        </is>
      </c>
      <c r="C11" s="38" t="n">
        <v>58</v>
      </c>
      <c r="D11" s="38" t="n">
        <v>55</v>
      </c>
      <c r="E11" s="38" t="n">
        <v>62</v>
      </c>
      <c r="F11" s="38" t="n">
        <v>70</v>
      </c>
      <c r="G11" s="38" t="inlineStr">
        <is>
          <t>Yes</t>
        </is>
      </c>
    </row>
    <row r="12">
      <c r="A12" s="38" t="inlineStr">
        <is>
          <t>S009</t>
        </is>
      </c>
      <c r="B12" s="38" t="inlineStr">
        <is>
          <t>Ivy Martinez</t>
        </is>
      </c>
      <c r="C12" s="38" t="n">
        <v>83</v>
      </c>
      <c r="D12" s="38" t="n">
        <v>79</v>
      </c>
      <c r="E12" s="38" t="n">
        <v>86</v>
      </c>
      <c r="F12" s="38" t="n">
        <v>90</v>
      </c>
      <c r="G12" s="38" t="inlineStr">
        <is>
          <t>Yes</t>
        </is>
      </c>
    </row>
    <row r="13">
      <c r="A13" s="38" t="inlineStr">
        <is>
          <t>S010</t>
        </is>
      </c>
      <c r="B13" s="38" t="inlineStr">
        <is>
          <t>Jack Anderson</t>
        </is>
      </c>
      <c r="C13" s="38" t="n">
        <v>70</v>
      </c>
      <c r="D13" s="38" t="n">
        <v>75</v>
      </c>
      <c r="E13" s="38" t="n">
        <v>72</v>
      </c>
      <c r="F13" s="38" t="n">
        <v>82</v>
      </c>
      <c r="G13" s="38" t="inlineStr">
        <is>
          <t>No</t>
        </is>
      </c>
    </row>
    <row r="14"/>
    <row r="15"/>
    <row r="16">
      <c r="A16" s="41" t="inlineStr">
        <is>
          <t>📋 GRADE SCALE REFERENCE</t>
        </is>
      </c>
      <c r="E16" s="41" t="inlineStr">
        <is>
          <t>📦 PRODUCT PRICING</t>
        </is>
      </c>
    </row>
    <row r="17"/>
    <row r="18">
      <c r="A18" s="37" t="inlineStr">
        <is>
          <t>Min Score</t>
        </is>
      </c>
      <c r="B18" s="37" t="inlineStr">
        <is>
          <t>Max Score</t>
        </is>
      </c>
      <c r="C18" s="37" t="inlineStr">
        <is>
          <t>Grade</t>
        </is>
      </c>
      <c r="E18" s="37" t="inlineStr">
        <is>
          <t>ProductID</t>
        </is>
      </c>
      <c r="F18" s="37" t="inlineStr">
        <is>
          <t>Product</t>
        </is>
      </c>
      <c r="G18" s="37" t="inlineStr">
        <is>
          <t>Category</t>
        </is>
      </c>
      <c r="H18" s="37" t="inlineStr">
        <is>
          <t>Price</t>
        </is>
      </c>
      <c r="I18" s="54" t="inlineStr">
        <is>
          <t>Supplier</t>
        </is>
      </c>
    </row>
    <row r="19">
      <c r="A19" s="38" t="n">
        <v>90</v>
      </c>
      <c r="B19" s="38" t="n">
        <v>100</v>
      </c>
      <c r="C19" s="38" t="inlineStr">
        <is>
          <t>A</t>
        </is>
      </c>
      <c r="E19" s="38" t="inlineStr">
        <is>
          <t>P101</t>
        </is>
      </c>
      <c r="F19" s="38" t="inlineStr">
        <is>
          <t>Laptop</t>
        </is>
      </c>
      <c r="G19" s="38" t="inlineStr">
        <is>
          <t>Electronics</t>
        </is>
      </c>
      <c r="H19" s="42" t="n">
        <v>999</v>
      </c>
      <c r="I19" s="55" t="inlineStr">
        <is>
          <t>TechCorp</t>
        </is>
      </c>
    </row>
    <row r="20">
      <c r="A20" s="38" t="n">
        <v>80</v>
      </c>
      <c r="B20" s="38" t="n">
        <v>89</v>
      </c>
      <c r="C20" s="38" t="inlineStr">
        <is>
          <t>B</t>
        </is>
      </c>
      <c r="E20" s="38" t="inlineStr">
        <is>
          <t>P102</t>
        </is>
      </c>
      <c r="F20" s="38" t="inlineStr">
        <is>
          <t>Mouse</t>
        </is>
      </c>
      <c r="G20" s="38" t="inlineStr">
        <is>
          <t>Electronics</t>
        </is>
      </c>
      <c r="H20" s="42" t="n">
        <v>25</v>
      </c>
      <c r="I20" s="55" t="inlineStr">
        <is>
          <t>TechCorp</t>
        </is>
      </c>
    </row>
    <row r="21">
      <c r="A21" s="38" t="n">
        <v>70</v>
      </c>
      <c r="B21" s="38" t="n">
        <v>79</v>
      </c>
      <c r="C21" s="38" t="inlineStr">
        <is>
          <t>C</t>
        </is>
      </c>
      <c r="E21" s="38" t="inlineStr">
        <is>
          <t>P103</t>
        </is>
      </c>
      <c r="F21" s="38" t="inlineStr">
        <is>
          <t>Keyboard</t>
        </is>
      </c>
      <c r="G21" s="38" t="inlineStr">
        <is>
          <t>Electronics</t>
        </is>
      </c>
      <c r="H21" s="42" t="n">
        <v>75</v>
      </c>
      <c r="I21" s="55" t="inlineStr">
        <is>
          <t>TechCorp</t>
        </is>
      </c>
    </row>
    <row r="22">
      <c r="A22" s="38" t="n">
        <v>60</v>
      </c>
      <c r="B22" s="38" t="n">
        <v>69</v>
      </c>
      <c r="C22" s="38" t="inlineStr">
        <is>
          <t>D</t>
        </is>
      </c>
      <c r="E22" s="38" t="inlineStr">
        <is>
          <t>P104</t>
        </is>
      </c>
      <c r="F22" s="38" t="inlineStr">
        <is>
          <t>Desk</t>
        </is>
      </c>
      <c r="G22" s="38" t="inlineStr">
        <is>
          <t>Furniture</t>
        </is>
      </c>
      <c r="H22" s="42" t="n">
        <v>350</v>
      </c>
      <c r="I22" s="55" t="inlineStr">
        <is>
          <t>OfficePro</t>
        </is>
      </c>
    </row>
    <row r="23">
      <c r="A23" s="38" t="n">
        <v>0</v>
      </c>
      <c r="B23" s="38" t="n">
        <v>59</v>
      </c>
      <c r="C23" s="38" t="inlineStr">
        <is>
          <t>F</t>
        </is>
      </c>
      <c r="E23" s="38" t="inlineStr">
        <is>
          <t>P105</t>
        </is>
      </c>
      <c r="F23" s="38" t="inlineStr">
        <is>
          <t>Chair</t>
        </is>
      </c>
      <c r="G23" s="38" t="inlineStr">
        <is>
          <t>Furniture</t>
        </is>
      </c>
      <c r="H23" s="42" t="n">
        <v>250</v>
      </c>
      <c r="I23" s="55" t="inlineStr">
        <is>
          <t>OfficePro</t>
        </is>
      </c>
    </row>
    <row r="24">
      <c r="E24" s="38" t="inlineStr">
        <is>
          <t>P106</t>
        </is>
      </c>
      <c r="F24" s="38" t="inlineStr">
        <is>
          <t>Notebook</t>
        </is>
      </c>
      <c r="G24" s="38" t="inlineStr">
        <is>
          <t>Supplies</t>
        </is>
      </c>
      <c r="H24" s="42" t="n">
        <v>5</v>
      </c>
      <c r="I24" s="55" t="inlineStr">
        <is>
          <t>PaperCo</t>
        </is>
      </c>
    </row>
    <row r="25">
      <c r="E25" s="38" t="inlineStr">
        <is>
          <t>P107</t>
        </is>
      </c>
      <c r="F25" s="38" t="inlineStr">
        <is>
          <t>Pen Set</t>
        </is>
      </c>
      <c r="G25" s="38" t="inlineStr">
        <is>
          <t>Supplies</t>
        </is>
      </c>
      <c r="H25" s="42" t="n">
        <v>12</v>
      </c>
      <c r="I25" s="55" t="inlineStr">
        <is>
          <t>PaperCo</t>
        </is>
      </c>
    </row>
    <row r="26"/>
    <row r="27"/>
    <row r="28">
      <c r="A28" s="41" t="inlineStr">
        <is>
          <t>📈 QUARTERLY SALES BY REGION</t>
        </is>
      </c>
    </row>
    <row r="29"/>
    <row r="30">
      <c r="A30" s="37" t="inlineStr">
        <is>
          <t>Region</t>
        </is>
      </c>
      <c r="B30" s="37" t="inlineStr">
        <is>
          <t>Q1</t>
        </is>
      </c>
      <c r="C30" s="37" t="inlineStr">
        <is>
          <t>Q2</t>
        </is>
      </c>
      <c r="D30" s="37" t="inlineStr">
        <is>
          <t>Q3</t>
        </is>
      </c>
      <c r="E30" s="37" t="inlineStr">
        <is>
          <t>Q4</t>
        </is>
      </c>
    </row>
    <row r="31">
      <c r="A31" s="38" t="inlineStr">
        <is>
          <t>North</t>
        </is>
      </c>
      <c r="B31" s="42" t="n">
        <v>45000</v>
      </c>
      <c r="C31" s="42" t="n">
        <v>52000</v>
      </c>
      <c r="D31" s="42" t="n">
        <v>48000</v>
      </c>
      <c r="E31" s="42" t="n">
        <v>61000</v>
      </c>
    </row>
    <row r="32">
      <c r="A32" s="38" t="inlineStr">
        <is>
          <t>South</t>
        </is>
      </c>
      <c r="B32" s="42" t="n">
        <v>38000</v>
      </c>
      <c r="C32" s="42" t="n">
        <v>41000</v>
      </c>
      <c r="D32" s="42" t="n">
        <v>45000</v>
      </c>
      <c r="E32" s="42" t="n">
        <v>50000</v>
      </c>
    </row>
    <row r="33">
      <c r="A33" s="38" t="inlineStr">
        <is>
          <t>East</t>
        </is>
      </c>
      <c r="B33" s="42" t="n">
        <v>55000</v>
      </c>
      <c r="C33" s="42" t="n">
        <v>58000</v>
      </c>
      <c r="D33" s="42" t="n">
        <v>62000</v>
      </c>
      <c r="E33" s="42" t="n">
        <v>70000</v>
      </c>
    </row>
    <row r="34">
      <c r="A34" s="38" t="inlineStr">
        <is>
          <t>West</t>
        </is>
      </c>
      <c r="B34" s="42" t="n">
        <v>42000</v>
      </c>
      <c r="C34" s="42" t="n">
        <v>47000</v>
      </c>
      <c r="D34" s="42" t="n">
        <v>51000</v>
      </c>
      <c r="E34" s="42" t="n">
        <v>55000</v>
      </c>
    </row>
    <row r="35"/>
    <row r="36"/>
    <row r="37"/>
    <row r="38" ht="19" customHeight="1" s="1">
      <c r="A38" s="40" t="inlineStr">
        <is>
          <t>📝 PRACTICE EXERCISES</t>
        </is>
      </c>
    </row>
    <row r="39"/>
    <row r="40">
      <c r="A40" s="43" t="inlineStr">
        <is>
          <t>Exercise 1: IF with AND/OR</t>
        </is>
      </c>
    </row>
    <row r="41">
      <c r="A41" s="35" t="inlineStr">
        <is>
          <t>Using the Student Grades data, create a formula that returns "Top Performer"</t>
        </is>
      </c>
    </row>
    <row r="42">
      <c r="A42" s="35" t="inlineStr">
        <is>
          <t>if a student has ALL subjects ≥ 80 AND has perfect attendance (100%)</t>
        </is>
      </c>
    </row>
    <row r="43"/>
    <row r="44">
      <c r="A44" s="43" t="inlineStr">
        <is>
          <t>Exercise 2: IFS Function</t>
        </is>
      </c>
    </row>
    <row r="45">
      <c r="A45" s="35" t="inlineStr">
        <is>
          <t>Create a formula to assign performance levels based on average score:</t>
        </is>
      </c>
    </row>
    <row r="46">
      <c r="A46" s="35" t="inlineStr">
        <is>
          <t>90+: Excellent | 80-89: Good | 70-79: Average | 60-69: Below Avg | &lt;60: Needs Improvement</t>
        </is>
      </c>
    </row>
    <row r="47"/>
    <row r="48">
      <c r="A48" s="43" t="inlineStr">
        <is>
          <t>Exercise 3: INDEX-MATCH</t>
        </is>
      </c>
    </row>
    <row r="49">
      <c r="A49" s="35" t="inlineStr">
        <is>
          <t>Using the Product data, write a formula to find the Price of a product</t>
        </is>
      </c>
    </row>
    <row r="50">
      <c r="A50" s="35" t="inlineStr">
        <is>
          <t>when you only know its Product name.</t>
        </is>
      </c>
    </row>
    <row r="51"/>
    <row r="52">
      <c r="A52" s="43" t="inlineStr">
        <is>
          <t>Exercise 4: INDIRECT</t>
        </is>
      </c>
    </row>
    <row r="53">
      <c r="A53" s="35" t="inlineStr">
        <is>
          <t>Create a dynamic formula that allows a user to type a quarter name (Q1, Q2, Q3, Q4)</t>
        </is>
      </c>
    </row>
    <row r="54">
      <c r="A54" s="35" t="inlineStr">
        <is>
          <t>and returns the total sales for that quarter across all regions.</t>
        </is>
      </c>
    </row>
    <row r="55"/>
    <row r="56">
      <c r="A56" s="43" t="inlineStr">
        <is>
          <t>Exercise 5: LET Function</t>
        </is>
      </c>
    </row>
    <row r="57">
      <c r="A57" s="35" t="inlineStr">
        <is>
          <t>Rewrite Exercise 1 using LET to make it more readable, naming each score variable clearly.</t>
        </is>
      </c>
    </row>
    <row r="58"/>
    <row r="59"/>
    <row r="60">
      <c r="A60" s="39" t="inlineStr">
        <is>
          <t>Exercise 6: VLOOKUP</t>
        </is>
      </c>
    </row>
    <row r="61">
      <c r="A61" s="44" t="inlineStr">
        <is>
          <t>Using the Product data, use VLOOKUP to return the Category for a selected ProductID.</t>
        </is>
      </c>
    </row>
    <row r="62"/>
    <row r="63"/>
    <row r="64">
      <c r="A64" s="39" t="inlineStr">
        <is>
          <t>Exercise 7: HLOOKUP</t>
        </is>
      </c>
    </row>
    <row r="65">
      <c r="A65" s="44" t="inlineStr">
        <is>
          <t>Using the Quarterly Sales data, use HLOOKUP to return a selected quarter value from a horizontal summary table.</t>
        </is>
      </c>
    </row>
    <row r="66"/>
    <row r="67"/>
    <row r="68">
      <c r="A68" s="39" t="inlineStr">
        <is>
          <t>Exercise 8: XLOOKUP</t>
        </is>
      </c>
    </row>
    <row r="69">
      <c r="A69" s="44" t="inlineStr">
        <is>
          <t>Using the Product data, use XLOOKUP to return the Supplier for a selected Product name, and include a not-found message.</t>
        </is>
      </c>
    </row>
  </sheetData>
  <mergeCells count="8">
    <mergeCell ref="A1:G1"/>
    <mergeCell ref="A69:H69"/>
    <mergeCell ref="A38:E38"/>
    <mergeCell ref="A65:H65"/>
    <mergeCell ref="A28:E28"/>
    <mergeCell ref="E16:H16"/>
    <mergeCell ref="A61:H61"/>
    <mergeCell ref="A16:C1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style="1" min="1" max="1"/>
    <col width="18" customWidth="1" style="1" min="2" max="2"/>
    <col width="18" customWidth="1" style="1" min="3" max="3"/>
    <col width="18" customWidth="1" style="1" min="4" max="4"/>
    <col width="26" customWidth="1" style="1" min="5" max="5"/>
    <col width="44" customWidth="1" style="1" min="6" max="6"/>
    <col width="24" customWidth="1" style="1" min="7" max="7"/>
    <col width="22" customWidth="1" style="1" min="8" max="8"/>
  </cols>
  <sheetData>
    <row r="1">
      <c r="A1" s="45" t="inlineStr">
        <is>
          <t>Lookup Functions: VLOOKUP, HLOOKUP, and XLOOKUP</t>
        </is>
      </c>
    </row>
    <row r="3">
      <c r="A3" s="46" t="inlineStr">
        <is>
          <t>KEY CONCEPTS</t>
        </is>
      </c>
    </row>
    <row r="5">
      <c r="A5" s="39" t="inlineStr">
        <is>
          <t>VLOOKUP</t>
        </is>
      </c>
      <c r="B5" s="44" t="inlineStr">
        <is>
          <t>Searches vertically down the first column of a table and returns a value from another column.</t>
        </is>
      </c>
    </row>
    <row r="6">
      <c r="A6" s="39" t="inlineStr">
        <is>
          <t>HLOOKUP</t>
        </is>
      </c>
      <c r="B6" s="44" t="inlineStr">
        <is>
          <t>Searches horizontally across the first row of a table and returns a value from another row.</t>
        </is>
      </c>
    </row>
    <row r="7">
      <c r="A7" s="39" t="inlineStr">
        <is>
          <t>XLOOKUP</t>
        </is>
      </c>
      <c r="B7" s="44" t="inlineStr">
        <is>
          <t>Modern lookup function that can search left, right, up, or down and includes a built-in not-found result.</t>
        </is>
      </c>
    </row>
    <row r="8">
      <c r="A8" s="39" t="inlineStr">
        <is>
          <t>Exact match</t>
        </is>
      </c>
      <c r="B8" s="44" t="inlineStr">
        <is>
          <t>Use FALSE in VLOOKUP/HLOOKUP or match_mode 0 in XLOOKUP when the lookup must match exactly.</t>
        </is>
      </c>
    </row>
    <row r="11">
      <c r="A11" s="47" t="inlineStr">
        <is>
          <t>SAMPLE DATA - PRODUCT CATALOG</t>
        </is>
      </c>
    </row>
    <row r="13">
      <c r="A13" s="48" t="inlineStr">
        <is>
          <t>ProductID</t>
        </is>
      </c>
      <c r="B13" s="48" t="inlineStr">
        <is>
          <t>Product</t>
        </is>
      </c>
      <c r="C13" s="48" t="inlineStr">
        <is>
          <t>Category</t>
        </is>
      </c>
      <c r="D13" s="48" t="inlineStr">
        <is>
          <t>Price</t>
        </is>
      </c>
      <c r="E13" s="48" t="inlineStr">
        <is>
          <t>Stock</t>
        </is>
      </c>
      <c r="F13" s="48" t="inlineStr">
        <is>
          <t>Supplier</t>
        </is>
      </c>
    </row>
    <row r="14">
      <c r="A14" s="49" t="inlineStr">
        <is>
          <t>P101</t>
        </is>
      </c>
      <c r="B14" s="49" t="inlineStr">
        <is>
          <t>Laptop</t>
        </is>
      </c>
      <c r="C14" s="49" t="inlineStr">
        <is>
          <t>Electronics</t>
        </is>
      </c>
      <c r="D14" s="50" t="n">
        <v>999</v>
      </c>
      <c r="E14" s="49" t="n">
        <v>50</v>
      </c>
      <c r="F14" s="49" t="inlineStr">
        <is>
          <t>TechCorp</t>
        </is>
      </c>
    </row>
    <row r="15">
      <c r="A15" s="49" t="inlineStr">
        <is>
          <t>P102</t>
        </is>
      </c>
      <c r="B15" s="49" t="inlineStr">
        <is>
          <t>Mouse</t>
        </is>
      </c>
      <c r="C15" s="49" t="inlineStr">
        <is>
          <t>Electronics</t>
        </is>
      </c>
      <c r="D15" s="50" t="n">
        <v>25</v>
      </c>
      <c r="E15" s="49" t="n">
        <v>200</v>
      </c>
      <c r="F15" s="49" t="inlineStr">
        <is>
          <t>TechCorp</t>
        </is>
      </c>
    </row>
    <row r="16">
      <c r="A16" s="49" t="inlineStr">
        <is>
          <t>P103</t>
        </is>
      </c>
      <c r="B16" s="49" t="inlineStr">
        <is>
          <t>Keyboard</t>
        </is>
      </c>
      <c r="C16" s="49" t="inlineStr">
        <is>
          <t>Electronics</t>
        </is>
      </c>
      <c r="D16" s="50" t="n">
        <v>75</v>
      </c>
      <c r="E16" s="49" t="n">
        <v>150</v>
      </c>
      <c r="F16" s="49" t="inlineStr">
        <is>
          <t>TechCorp</t>
        </is>
      </c>
    </row>
    <row r="17">
      <c r="A17" s="49" t="inlineStr">
        <is>
          <t>P104</t>
        </is>
      </c>
      <c r="B17" s="49" t="inlineStr">
        <is>
          <t>Desk</t>
        </is>
      </c>
      <c r="C17" s="49" t="inlineStr">
        <is>
          <t>Furniture</t>
        </is>
      </c>
      <c r="D17" s="50" t="n">
        <v>350</v>
      </c>
      <c r="E17" s="49" t="n">
        <v>30</v>
      </c>
      <c r="F17" s="49" t="inlineStr">
        <is>
          <t>OfficePro</t>
        </is>
      </c>
    </row>
    <row r="18">
      <c r="A18" s="49" t="inlineStr">
        <is>
          <t>P105</t>
        </is>
      </c>
      <c r="B18" s="49" t="inlineStr">
        <is>
          <t>Chair</t>
        </is>
      </c>
      <c r="C18" s="49" t="inlineStr">
        <is>
          <t>Furniture</t>
        </is>
      </c>
      <c r="D18" s="50" t="n">
        <v>250</v>
      </c>
      <c r="E18" s="49" t="n">
        <v>45</v>
      </c>
      <c r="F18" s="49" t="inlineStr">
        <is>
          <t>OfficePro</t>
        </is>
      </c>
    </row>
    <row r="19">
      <c r="A19" s="49" t="inlineStr">
        <is>
          <t>P106</t>
        </is>
      </c>
      <c r="B19" s="49" t="inlineStr">
        <is>
          <t>Notebook</t>
        </is>
      </c>
      <c r="C19" s="49" t="inlineStr">
        <is>
          <t>Supplies</t>
        </is>
      </c>
      <c r="D19" s="50" t="n">
        <v>5</v>
      </c>
      <c r="E19" s="49" t="n">
        <v>500</v>
      </c>
      <c r="F19" s="49" t="inlineStr">
        <is>
          <t>PaperCo</t>
        </is>
      </c>
    </row>
    <row r="20">
      <c r="A20" s="49" t="inlineStr">
        <is>
          <t>P107</t>
        </is>
      </c>
      <c r="B20" s="49" t="inlineStr">
        <is>
          <t>Pen Set</t>
        </is>
      </c>
      <c r="C20" s="49" t="inlineStr">
        <is>
          <t>Supplies</t>
        </is>
      </c>
      <c r="D20" s="50" t="n">
        <v>12</v>
      </c>
      <c r="E20" s="49" t="n">
        <v>300</v>
      </c>
      <c r="F20" s="49" t="inlineStr">
        <is>
          <t>PaperCo</t>
        </is>
      </c>
    </row>
    <row r="23">
      <c r="A23" s="46" t="inlineStr">
        <is>
          <t>EXAMPLE 1: VLOOKUP - Search Vertically by Product ID</t>
        </is>
      </c>
    </row>
    <row r="25">
      <c r="A25" s="51" t="inlineStr">
        <is>
          <t>Task</t>
        </is>
      </c>
      <c r="B25" s="51" t="inlineStr">
        <is>
          <t>Lookup Value</t>
        </is>
      </c>
      <c r="C25" s="51" t="inlineStr">
        <is>
          <t>Result</t>
        </is>
      </c>
      <c r="D25" s="51" t="inlineStr">
        <is>
          <t>Formula Used</t>
        </is>
      </c>
      <c r="E25" s="51" t="inlineStr">
        <is>
          <t>Notes</t>
        </is>
      </c>
    </row>
    <row r="26">
      <c r="A26" s="49" t="inlineStr">
        <is>
          <t>Find price for P103</t>
        </is>
      </c>
      <c r="B26" s="49" t="inlineStr">
        <is>
          <t>P103</t>
        </is>
      </c>
      <c r="C26" s="49">
        <f>VLOOKUP(B26,$A$14:$F$20,4,FALSE)</f>
        <v/>
      </c>
      <c r="D26" s="49">
        <f>VLOOKUP(B26,$A$14:$F$20,4,FALSE)</f>
        <v/>
      </c>
      <c r="E26" s="49" t="inlineStr">
        <is>
          <t>Returns the 4th column from the table.</t>
        </is>
      </c>
    </row>
    <row r="27">
      <c r="A27" s="49" t="inlineStr">
        <is>
          <t>Find supplier for P105</t>
        </is>
      </c>
      <c r="B27" s="49" t="inlineStr">
        <is>
          <t>P105</t>
        </is>
      </c>
      <c r="C27" s="49">
        <f>VLOOKUP(B27,$A$14:$F$20,6,FALSE)</f>
        <v/>
      </c>
      <c r="D27" s="49">
        <f>VLOOKUP(B27,$A$14:$F$20,6,FALSE)</f>
        <v/>
      </c>
      <c r="E27" s="49" t="inlineStr">
        <is>
          <t>Returns the 6th column from the table.</t>
        </is>
      </c>
    </row>
    <row r="30">
      <c r="A30" s="52" t="inlineStr">
        <is>
          <t>EXAMPLE 2: HLOOKUP - Search Horizontally by Quarter</t>
        </is>
      </c>
    </row>
    <row r="32">
      <c r="A32" s="53" t="inlineStr">
        <is>
          <t>Metric</t>
        </is>
      </c>
      <c r="B32" s="53" t="inlineStr">
        <is>
          <t>Q1</t>
        </is>
      </c>
      <c r="C32" s="53" t="inlineStr">
        <is>
          <t>Q2</t>
        </is>
      </c>
      <c r="D32" s="53" t="inlineStr">
        <is>
          <t>Q3</t>
        </is>
      </c>
      <c r="E32" s="53" t="inlineStr">
        <is>
          <t>Q4</t>
        </is>
      </c>
    </row>
    <row r="33">
      <c r="A33" s="49" t="inlineStr">
        <is>
          <t>Sales</t>
        </is>
      </c>
      <c r="B33" s="50" t="n">
        <v>45000</v>
      </c>
      <c r="C33" s="50" t="n">
        <v>52000</v>
      </c>
      <c r="D33" s="50" t="n">
        <v>48000</v>
      </c>
      <c r="E33" s="50" t="n">
        <v>61000</v>
      </c>
    </row>
    <row r="34">
      <c r="A34" s="49" t="inlineStr">
        <is>
          <t>Expenses</t>
        </is>
      </c>
      <c r="B34" s="50" t="n">
        <v>28000</v>
      </c>
      <c r="C34" s="50" t="n">
        <v>31000</v>
      </c>
      <c r="D34" s="50" t="n">
        <v>30000</v>
      </c>
      <c r="E34" s="50" t="n">
        <v>36000</v>
      </c>
    </row>
    <row r="35">
      <c r="A35" s="49" t="inlineStr">
        <is>
          <t>Profit</t>
        </is>
      </c>
      <c r="B35" s="50" t="n">
        <v>17000</v>
      </c>
      <c r="C35" s="50" t="n">
        <v>21000</v>
      </c>
      <c r="D35" s="50" t="n">
        <v>18000</v>
      </c>
      <c r="E35" s="50" t="n">
        <v>25000</v>
      </c>
    </row>
    <row r="38">
      <c r="A38" s="53" t="inlineStr">
        <is>
          <t>Task</t>
        </is>
      </c>
      <c r="B38" s="53" t="inlineStr">
        <is>
          <t>Lookup Quarter</t>
        </is>
      </c>
      <c r="C38" s="53" t="inlineStr">
        <is>
          <t>Result</t>
        </is>
      </c>
      <c r="D38" s="53" t="inlineStr">
        <is>
          <t>Formula Used</t>
        </is>
      </c>
      <c r="E38" s="53" t="inlineStr">
        <is>
          <t>Notes</t>
        </is>
      </c>
    </row>
    <row r="39">
      <c r="A39" s="49" t="inlineStr">
        <is>
          <t>Find Q3 Sales</t>
        </is>
      </c>
      <c r="B39" s="49" t="inlineStr">
        <is>
          <t>Q3</t>
        </is>
      </c>
      <c r="C39" s="49">
        <f>HLOOKUP(B39,$B$32:$E$35,2,FALSE)</f>
        <v/>
      </c>
      <c r="D39" s="49">
        <f>HLOOKUP(B39,$B$32:$E$35,2,FALSE)</f>
        <v/>
      </c>
      <c r="E39" s="49" t="inlineStr">
        <is>
          <t>Searches the top row and returns Sales from row 2.</t>
        </is>
      </c>
    </row>
    <row r="40">
      <c r="A40" s="49" t="inlineStr">
        <is>
          <t>Find Q4 Profit</t>
        </is>
      </c>
      <c r="B40" s="49" t="inlineStr">
        <is>
          <t>Q4</t>
        </is>
      </c>
      <c r="C40" s="49">
        <f>HLOOKUP(B40,$B$32:$E$35,4,FALSE)</f>
        <v/>
      </c>
      <c r="D40" s="49">
        <f>HLOOKUP(B40,$B$32:$E$35,4,FALSE)</f>
        <v/>
      </c>
      <c r="E40" s="49" t="inlineStr">
        <is>
          <t>Searches the top row and returns Profit from row 4.</t>
        </is>
      </c>
    </row>
    <row r="43">
      <c r="A43" s="46" t="inlineStr">
        <is>
          <t>EXAMPLE 3: XLOOKUP - Modern Flexible Lookup</t>
        </is>
      </c>
    </row>
    <row r="45">
      <c r="A45" s="51" t="inlineStr">
        <is>
          <t>Task</t>
        </is>
      </c>
      <c r="B45" s="51" t="inlineStr">
        <is>
          <t>Lookup Value</t>
        </is>
      </c>
      <c r="C45" s="51" t="inlineStr">
        <is>
          <t>Result</t>
        </is>
      </c>
      <c r="D45" s="51" t="inlineStr">
        <is>
          <t>Formula Used</t>
        </is>
      </c>
      <c r="E45" s="51" t="inlineStr">
        <is>
          <t>Why XLOOKUP Helps</t>
        </is>
      </c>
    </row>
    <row r="46">
      <c r="A46" s="49" t="inlineStr">
        <is>
          <t>Find price for Keyboard</t>
        </is>
      </c>
      <c r="B46" s="49" t="inlineStr">
        <is>
          <t>Keyboard</t>
        </is>
      </c>
      <c r="C46" s="49">
        <f>XLOOKUP(B46,$B$14:$B$20,$D$14:$D$20,"Not found",0)</f>
        <v/>
      </c>
      <c r="D46" s="49">
        <f>XLOOKUP(B46,$B$14:$B$20,$D$14:$D$20,"Not found",0)</f>
        <v/>
      </c>
      <c r="E46" s="49" t="inlineStr">
        <is>
          <t>Looks up by Product and returns Price.</t>
        </is>
      </c>
    </row>
    <row r="47">
      <c r="A47" s="49" t="inlineStr">
        <is>
          <t>Find ProductID for Chair</t>
        </is>
      </c>
      <c r="B47" s="49" t="inlineStr">
        <is>
          <t>Chair</t>
        </is>
      </c>
      <c r="C47" s="49">
        <f>XLOOKUP(B47,$B$14:$B$20,$A$14:$A$20,"Not found",0)</f>
        <v/>
      </c>
      <c r="D47" s="49">
        <f>XLOOKUP(B47,$B$14:$B$20,$A$14:$A$20,"Not found",0)</f>
        <v/>
      </c>
      <c r="E47" s="49" t="inlineStr">
        <is>
          <t>Can return a value to the left of the lookup column.</t>
        </is>
      </c>
    </row>
    <row r="48">
      <c r="A48" s="49" t="inlineStr">
        <is>
          <t>Find stock for P999</t>
        </is>
      </c>
      <c r="B48" s="49" t="inlineStr">
        <is>
          <t>P999</t>
        </is>
      </c>
      <c r="C48" s="49">
        <f>XLOOKUP(B48,$A$14:$A$20,$E$14:$E$20,"Not found",0)</f>
        <v/>
      </c>
      <c r="D48" s="49">
        <f>XLOOKUP(B48,$A$14:$A$20,$E$14:$E$20,"Not found",0)</f>
        <v/>
      </c>
      <c r="E48" s="49" t="inlineStr">
        <is>
          <t>Uses a built-in not-found message.</t>
        </is>
      </c>
    </row>
    <row r="51">
      <c r="A51" s="47" t="inlineStr">
        <is>
          <t>COMPARISON: WHICH LOOKUP SHOULD I USE?</t>
        </is>
      </c>
    </row>
    <row r="53">
      <c r="A53" s="48" t="inlineStr">
        <is>
          <t>Function</t>
        </is>
      </c>
      <c r="B53" s="48" t="inlineStr">
        <is>
          <t>Best For</t>
        </is>
      </c>
      <c r="C53" s="48" t="inlineStr">
        <is>
          <t>Limitation</t>
        </is>
      </c>
      <c r="D53" s="48" t="inlineStr">
        <is>
          <t>Recommended Use</t>
        </is>
      </c>
    </row>
    <row r="54">
      <c r="A54" s="49" t="inlineStr">
        <is>
          <t>VLOOKUP</t>
        </is>
      </c>
      <c r="B54" s="49" t="inlineStr">
        <is>
          <t>Vertical tables where lookup value is in the first column</t>
        </is>
      </c>
      <c r="C54" s="49" t="inlineStr">
        <is>
          <t>Cannot look left; column number can break if table changes</t>
        </is>
      </c>
      <c r="D54" s="49" t="inlineStr">
        <is>
          <t>Useful to recognize and maintain older workbooks</t>
        </is>
      </c>
    </row>
    <row r="55">
      <c r="A55" s="49" t="inlineStr">
        <is>
          <t>HLOOKUP</t>
        </is>
      </c>
      <c r="B55" s="49" t="inlineStr">
        <is>
          <t>Horizontal tables where lookup value is in the first row</t>
        </is>
      </c>
      <c r="C55" s="49" t="inlineStr">
        <is>
          <t>Less common; row number can break if table changes</t>
        </is>
      </c>
      <c r="D55" s="49" t="inlineStr">
        <is>
          <t>Useful for quarter/month layouts across columns</t>
        </is>
      </c>
    </row>
    <row r="56">
      <c r="A56" s="49" t="inlineStr">
        <is>
          <t>XLOOKUP</t>
        </is>
      </c>
      <c r="B56" s="49" t="inlineStr">
        <is>
          <t>Most modern lookup tasks</t>
        </is>
      </c>
      <c r="C56" s="49" t="inlineStr">
        <is>
          <t>Requires newer Excel versions</t>
        </is>
      </c>
      <c r="D56" s="49" t="inlineStr">
        <is>
          <t>Best default when available</t>
        </is>
      </c>
    </row>
    <row r="57">
      <c r="A57" s="49" t="inlineStr">
        <is>
          <t>INDEX-MATCH</t>
        </is>
      </c>
      <c r="B57" s="49" t="inlineStr">
        <is>
          <t>Flexible and compatible lookup logic</t>
        </is>
      </c>
      <c r="C57" s="49" t="inlineStr">
        <is>
          <t>More pieces to understand</t>
        </is>
      </c>
      <c r="D57" s="49" t="inlineStr">
        <is>
          <t>Strong choice for flexible models and older Excel versions</t>
        </is>
      </c>
    </row>
    <row r="60">
      <c r="A60" s="52" t="inlineStr">
        <is>
          <t>PRACTICE PROMPTS</t>
        </is>
      </c>
    </row>
    <row r="62">
      <c r="A62" s="44" t="inlineStr">
        <is>
          <t>1. Use VLOOKUP to return the Category for ProductID P104.</t>
        </is>
      </c>
    </row>
    <row r="63">
      <c r="A63" s="44" t="inlineStr">
        <is>
          <t>2. Use HLOOKUP to return the Expenses for Q2.</t>
        </is>
      </c>
    </row>
    <row r="64">
      <c r="A64" s="44" t="inlineStr">
        <is>
          <t>3. Use XLOOKUP to return the Supplier for product Notebook.</t>
        </is>
      </c>
    </row>
    <row r="65">
      <c r="A65" s="44" t="inlineStr">
        <is>
          <t>4. Use XLOOKUP to return Not found when a lookup value does not exist.</t>
        </is>
      </c>
    </row>
    <row r="66">
      <c r="A66" s="44" t="inlineStr">
        <is>
          <t>5. Explain one reason XLOOKUP is easier to maintain than VLOOKUP.</t>
        </is>
      </c>
    </row>
  </sheetData>
  <mergeCells count="17">
    <mergeCell ref="B8:H8"/>
    <mergeCell ref="A62:H62"/>
    <mergeCell ref="A3:H3"/>
    <mergeCell ref="A30:H30"/>
    <mergeCell ref="A65:H65"/>
    <mergeCell ref="A43:H43"/>
    <mergeCell ref="A51:H51"/>
    <mergeCell ref="A63:H63"/>
    <mergeCell ref="A64:H64"/>
    <mergeCell ref="B6:H6"/>
    <mergeCell ref="A60:H60"/>
    <mergeCell ref="A11:H11"/>
    <mergeCell ref="A66:H66"/>
    <mergeCell ref="B7:H7"/>
    <mergeCell ref="A1:H1"/>
    <mergeCell ref="A23:H23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Jasser Jasser</dc:creator>
  <dcterms:created xmlns:dcterms="http://purl.org/dc/terms/" xmlns:xsi="http://www.w3.org/2001/XMLSchema-instance" xsi:type="dcterms:W3CDTF">2026-05-15T15:14:33Z</dcterms:created>
  <dcterms:modified xmlns:dcterms="http://purl.org/dc/terms/" xmlns:xsi="http://www.w3.org/2001/XMLSchema-instance" xsi:type="dcterms:W3CDTF">2026-05-15T15:39:40Z</dcterms:modified>
  <cp:lastModifiedBy>Jasser Jasser</cp:lastModifiedBy>
</cp:coreProperties>
</file>