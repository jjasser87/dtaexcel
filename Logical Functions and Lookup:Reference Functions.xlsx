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asser/Downloads/"/>
    </mc:Choice>
  </mc:AlternateContent>
  <xr:revisionPtr revIDLastSave="0" documentId="13_ncr:1_{D13F35FC-D4F2-3C44-8745-4ED603269CDA}" xr6:coauthVersionLast="47" xr6:coauthVersionMax="47" xr10:uidLastSave="{00000000-0000-0000-0000-000000000000}"/>
  <bookViews>
    <workbookView xWindow="1100" yWindow="900" windowWidth="28040" windowHeight="16940" firstSheet="2" activeTab="7" xr2:uid="{00000000-000D-0000-FFFF-FFFF00000000}"/>
  </bookViews>
  <sheets>
    <sheet name="Overview" sheetId="1" r:id="rId1"/>
    <sheet name="1-IF with AND-OR" sheetId="2" r:id="rId2"/>
    <sheet name="2-IFS and Nested IF" sheetId="3" r:id="rId3"/>
    <sheet name="3-VLOOKUP-HLOOKUP-XLOOKUP" sheetId="8" r:id="rId4"/>
    <sheet name="4-INDEX-MATCH" sheetId="4" r:id="rId5"/>
    <sheet name="5-INDIRECT" sheetId="5" r:id="rId6"/>
    <sheet name="6-LET Function" sheetId="6" r:id="rId7"/>
    <sheet name="Practice Data" sheetId="7" r:id="rId8"/>
  </sheets>
  <definedNames>
    <definedName name="FebSales">"'4-INDIRECT'!$B$19"</definedName>
    <definedName name="GradeScale">"'Practice Data'!$A$18:$C$23"</definedName>
    <definedName name="JanSales">"'4-INDIRECT'!$B$18"</definedName>
    <definedName name="MarSales">"'4-INDIRECT'!$B$20"</definedName>
    <definedName name="ProductData">"'Practice Data'!$E$18:$H$25"</definedName>
    <definedName name="SalesData">"'Practice Data'!$A$30:$E$34"</definedName>
    <definedName name="StudentData">"'Practice Data'!$A$3:$G$13"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8" l="1"/>
  <c r="C48" i="8"/>
  <c r="D47" i="8"/>
  <c r="C47" i="8"/>
  <c r="D46" i="8"/>
  <c r="C46" i="8"/>
  <c r="D40" i="8"/>
  <c r="C40" i="8"/>
  <c r="D39" i="8"/>
  <c r="C39" i="8"/>
  <c r="D27" i="8"/>
  <c r="C27" i="8"/>
  <c r="D26" i="8"/>
  <c r="C26" i="8"/>
  <c r="B44" i="6"/>
  <c r="B43" i="6"/>
  <c r="C36" i="6"/>
  <c r="B36" i="6"/>
  <c r="C35" i="6"/>
  <c r="B35" i="6"/>
  <c r="E34" i="6"/>
  <c r="D34" i="6"/>
  <c r="C34" i="6"/>
  <c r="B34" i="6"/>
  <c r="D47" i="5" a="1"/>
  <c r="C47" i="5" a="1"/>
  <c r="D46" i="5" a="1"/>
  <c r="C46" i="5" a="1"/>
  <c r="D45" i="5" a="1"/>
  <c r="C45" i="5" a="1"/>
  <c r="C38" i="5"/>
  <c r="B38" i="5"/>
  <c r="C37" i="5"/>
  <c r="B37" i="5"/>
  <c r="C36" i="5"/>
  <c r="B36" i="5"/>
  <c r="C29" i="5" a="1"/>
  <c r="B29" i="5" a="1"/>
  <c r="C28" i="5" a="1"/>
  <c r="B28" i="5" a="1"/>
  <c r="D63" i="4"/>
  <c r="C63" i="4"/>
  <c r="D50" i="4"/>
  <c r="C50" i="4"/>
  <c r="D49" i="4"/>
  <c r="C49" i="4"/>
  <c r="D48" i="4"/>
  <c r="C48" i="4"/>
  <c r="D42" i="4"/>
  <c r="C42" i="4"/>
  <c r="D41" i="4"/>
  <c r="C41" i="4"/>
  <c r="E35" i="4" a="1"/>
  <c r="D35" i="4" a="1"/>
  <c r="D35" i="4"/>
  <c r="E34" i="4" a="1"/>
  <c r="D34" i="4" a="1"/>
  <c r="C41" i="3"/>
  <c r="C40" i="3"/>
  <c r="C39" i="3"/>
  <c r="C38" i="3"/>
  <c r="D37" i="3"/>
  <c r="C37" i="3"/>
  <c r="C31" i="3" a="1"/>
  <c r="C30" i="3" a="1"/>
  <c r="C30" i="3"/>
  <c r="C29" i="3" a="1"/>
  <c r="C28" i="3" a="1"/>
  <c r="D27" i="3" a="1"/>
  <c r="C27" i="3" a="1"/>
  <c r="G43" i="2"/>
  <c r="F43" i="2"/>
  <c r="G42" i="2"/>
  <c r="F42" i="2"/>
  <c r="G41" i="2"/>
  <c r="F41" i="2"/>
  <c r="G40" i="2"/>
  <c r="F40" i="2"/>
  <c r="F33" i="2"/>
  <c r="E33" i="2"/>
  <c r="F32" i="2"/>
  <c r="E32" i="2"/>
  <c r="F31" i="2"/>
  <c r="E31" i="2"/>
  <c r="F30" i="2"/>
  <c r="E30" i="2"/>
  <c r="F23" i="2"/>
  <c r="E23" i="2"/>
  <c r="F22" i="2"/>
  <c r="E22" i="2"/>
  <c r="F21" i="2"/>
  <c r="E21" i="2"/>
  <c r="F20" i="2"/>
  <c r="E20" i="2"/>
  <c r="D47" i="5" l="1"/>
  <c r="C47" i="5"/>
  <c r="D46" i="5"/>
  <c r="C46" i="5"/>
  <c r="D45" i="5"/>
  <c r="C45" i="5"/>
  <c r="E35" i="4"/>
  <c r="E34" i="4"/>
  <c r="C29" i="3"/>
  <c r="D27" i="3"/>
  <c r="C29" i="5"/>
  <c r="B29" i="5"/>
  <c r="C28" i="5"/>
  <c r="B28" i="5"/>
  <c r="D34" i="4"/>
  <c r="C31" i="3"/>
  <c r="C28" i="3"/>
  <c r="C27" i="3"/>
</calcChain>
</file>

<file path=xl/sharedStrings.xml><?xml version="1.0" encoding="utf-8"?>
<sst xmlns="http://schemas.openxmlformats.org/spreadsheetml/2006/main" count="590" uniqueCount="365">
  <si>
    <t>📚 Excel Functions Learning Workbook</t>
  </si>
  <si>
    <t>Master Logical Functions &amp; Lookup/Reference Functions</t>
  </si>
  <si>
    <t>🎯 Learning Objectives</t>
  </si>
  <si>
    <t>PART 1: Integrating Logical Functions</t>
  </si>
  <si>
    <t xml:space="preserve">   • Integrate complex conjunction functions (AND, OR, NOT) into IF functions</t>
  </si>
  <si>
    <t xml:space="preserve">   • Use IFS function for multiple outcomes without nesting</t>
  </si>
  <si>
    <t xml:space="preserve">   • Use Nested IF functions to handle more than two outcomes</t>
  </si>
  <si>
    <t>PART 2: Retrieving Data Using Lookup and Reference Functions</t>
  </si>
  <si>
    <t xml:space="preserve">   • Use INDEX function to return values from a specific position</t>
  </si>
  <si>
    <t xml:space="preserve">   • Use MATCH function to find the position of a value</t>
  </si>
  <si>
    <t xml:space="preserve">   • Combine INDEX and MATCH for flexible lookups</t>
  </si>
  <si>
    <t xml:space="preserve">   • Use INDIRECT function for dynamic cell references</t>
  </si>
  <si>
    <t xml:space="preserve">   • Use VLOOKUP to retrieve values from vertical tables</t>
  </si>
  <si>
    <t xml:space="preserve">   • Use HLOOKUP to retrieve values from horizontal tables</t>
  </si>
  <si>
    <t xml:space="preserve">   • Use XLOOKUP for modern, flexible lookups with not-found handling</t>
  </si>
  <si>
    <t xml:space="preserve">   • Compare VLOOKUP, HLOOKUP, XLOOKUP, and INDEX-MATCH approaches</t>
  </si>
  <si>
    <t xml:space="preserve">   • Use LET function to improve formula efficiency and readability</t>
  </si>
  <si>
    <t>📑 Worksheet Navigation</t>
  </si>
  <si>
    <t>Sheet Name</t>
  </si>
  <si>
    <t>Description</t>
  </si>
  <si>
    <t>1-IF with AND-OR</t>
  </si>
  <si>
    <t>Learn to combine IF with AND, OR, NOT functions</t>
  </si>
  <si>
    <t>2-IFS and Nested IF</t>
  </si>
  <si>
    <t>Handle multiple outcomes with IFS and Nested IF</t>
  </si>
  <si>
    <t>3-INDEX-MATCH</t>
  </si>
  <si>
    <t>Master INDEX and MATCH functions together</t>
  </si>
  <si>
    <t>4-INDIRECT</t>
  </si>
  <si>
    <t>Create dynamic references with INDIRECT</t>
  </si>
  <si>
    <t>5-LET Function</t>
  </si>
  <si>
    <t>Improve formulas with LET for efficiency</t>
  </si>
  <si>
    <t>Practice Data</t>
  </si>
  <si>
    <t>Sample datasets for all exercises</t>
  </si>
  <si>
    <t>6-VLOOKUP-HLOOKUP-XLOOKUP</t>
  </si>
  <si>
    <t>Learn VLOOKUP, HLOOKUP, and XLOOKUP for common lookup tasks</t>
  </si>
  <si>
    <t>🔀 Integrating IF with AND, OR, NOT Functions</t>
  </si>
  <si>
    <t>💡 KEY CONCEPTS</t>
  </si>
  <si>
    <t>AND Function: Returns TRUE only if ALL conditions are TRUE</t>
  </si>
  <si>
    <t xml:space="preserve">   Syntax: AND(condition1, condition2, ...)</t>
  </si>
  <si>
    <t>OR Function: Returns TRUE if ANY condition is TRUE</t>
  </si>
  <si>
    <t xml:space="preserve">   Syntax: OR(condition1, condition2, ...)</t>
  </si>
  <si>
    <t>NOT Function: Reverses the logical value</t>
  </si>
  <si>
    <t xml:space="preserve">   Syntax: NOT(logical_value)</t>
  </si>
  <si>
    <t>Combining with IF: IF(AND(...), value_if_true, value_if_false)</t>
  </si>
  <si>
    <t>📌 EXAMPLE 1: IF with AND - Honor Roll Eligibility</t>
  </si>
  <si>
    <t>Criteria: Student must have Math ≥ 85 AND Science ≥ 85 AND Attendance ≥ 90%</t>
  </si>
  <si>
    <t>Name</t>
  </si>
  <si>
    <t>Math</t>
  </si>
  <si>
    <t>Science</t>
  </si>
  <si>
    <t>Attendance%</t>
  </si>
  <si>
    <t>Honor Roll?</t>
  </si>
  <si>
    <t>Formula Used</t>
  </si>
  <si>
    <t>Alice Johnson</t>
  </si>
  <si>
    <t>Bob Smith</t>
  </si>
  <si>
    <t>David Wilson</t>
  </si>
  <si>
    <t>Grace Lee</t>
  </si>
  <si>
    <t>📌 EXAMPLE 2: IF with OR - Scholarship Eligibility</t>
  </si>
  <si>
    <t>Criteria: Student qualifies if Math ≥ 90 OR Science ≥ 90 OR English ≥ 90</t>
  </si>
  <si>
    <t>English</t>
  </si>
  <si>
    <t>Scholarship?</t>
  </si>
  <si>
    <t>Carol Davis</t>
  </si>
  <si>
    <t>📌 EXAMPLE 3: Combining AND with OR - Special Recognition</t>
  </si>
  <si>
    <t>Criteria: (Math ≥ 80 AND Science ≥ 80) OR (Attendance = 100% AND ExtraCurricular = Yes)</t>
  </si>
  <si>
    <t>ExtraCurr</t>
  </si>
  <si>
    <t>Recognition?</t>
  </si>
  <si>
    <t>Yes</t>
  </si>
  <si>
    <t>Frank Miller</t>
  </si>
  <si>
    <t>No</t>
  </si>
  <si>
    <t>Henry Taylor</t>
  </si>
  <si>
    <t>🔢 IFS and Nested IF Functions - Multiple Outcomes</t>
  </si>
  <si>
    <t>IFS Function (Excel 2019+): Evaluates multiple conditions and returns value for FIRST true condition</t>
  </si>
  <si>
    <t xml:space="preserve">   Syntax: IFS(condition1, value1, condition2, value2, ..., TRUE, default_value)</t>
  </si>
  <si>
    <t xml:space="preserve">   ✓ Cleaner syntax, easier to read</t>
  </si>
  <si>
    <t xml:space="preserve">   ✓ Use TRUE as last condition for default value</t>
  </si>
  <si>
    <t>Nested IF: Traditional approach using IF within IF</t>
  </si>
  <si>
    <t xml:space="preserve">   Syntax: IF(condition1, value1, IF(condition2, value2, IF(condition3, value3, default)))</t>
  </si>
  <si>
    <t xml:space="preserve">   ✓ Works in all Excel versions</t>
  </si>
  <si>
    <t xml:space="preserve">   ✗ Can become difficult to read with many conditions</t>
  </si>
  <si>
    <t>📋 Grade Scale Reference:</t>
  </si>
  <si>
    <t>Score Range</t>
  </si>
  <si>
    <t>Grade</t>
  </si>
  <si>
    <t>90-100</t>
  </si>
  <si>
    <t>A</t>
  </si>
  <si>
    <t>80-89</t>
  </si>
  <si>
    <t>B</t>
  </si>
  <si>
    <t>70-79</t>
  </si>
  <si>
    <t>C</t>
  </si>
  <si>
    <t>60-69</t>
  </si>
  <si>
    <t>D</t>
  </si>
  <si>
    <t>0-59</t>
  </si>
  <si>
    <t>F</t>
  </si>
  <si>
    <t>📌 EXAMPLE 1: Using IFS Function for Grade Assignment</t>
  </si>
  <si>
    <t>Math Score</t>
  </si>
  <si>
    <t>Grade (IFS)</t>
  </si>
  <si>
    <t>(same formula pattern)</t>
  </si>
  <si>
    <t>Emma Brown</t>
  </si>
  <si>
    <t>📌 EXAMPLE 2: Using Nested IF for Grade Assignment (Same Result)</t>
  </si>
  <si>
    <t>Grade (Nested IF)</t>
  </si>
  <si>
    <t>⚖️ COMPARISON: IFS vs Nested IF</t>
  </si>
  <si>
    <t>Aspect</t>
  </si>
  <si>
    <t>IFS Function</t>
  </si>
  <si>
    <t>Nested IF</t>
  </si>
  <si>
    <t>Readability</t>
  </si>
  <si>
    <t>✓ Easier to read</t>
  </si>
  <si>
    <t>✗ Gets complex quickly</t>
  </si>
  <si>
    <t>Maintenance</t>
  </si>
  <si>
    <t>✓ Easy to modify</t>
  </si>
  <si>
    <t>✗ Harder to update</t>
  </si>
  <si>
    <t>Compatibility</t>
  </si>
  <si>
    <t>Excel 2019+ only</t>
  </si>
  <si>
    <t>✓ All versions</t>
  </si>
  <si>
    <t>Default Value</t>
  </si>
  <si>
    <t>Use TRUE as condition</t>
  </si>
  <si>
    <t>Last false value</t>
  </si>
  <si>
    <t>Performance</t>
  </si>
  <si>
    <t>Similar</t>
  </si>
  <si>
    <t>🔍 INDEX, MATCH, and INDEX-MATCH Combination</t>
  </si>
  <si>
    <t>INDEX Function: Returns a value from a specific position in a range</t>
  </si>
  <si>
    <t xml:space="preserve">   Syntax: INDEX(array, row_num, [column_num])</t>
  </si>
  <si>
    <t xml:space="preserve">   Example: INDEX(A1:C10, 3, 2) returns the value in row 3, column 2</t>
  </si>
  <si>
    <t>MATCH Function: Finds the position of a value in a range</t>
  </si>
  <si>
    <t xml:space="preserve">   Syntax: MATCH(lookup_value, lookup_array, [match_type])</t>
  </si>
  <si>
    <t xml:space="preserve">   match_type: 0 = exact match, 1 = less than, -1 = greater than</t>
  </si>
  <si>
    <t>INDEX-MATCH Combination: More flexible than VLOOKUP!</t>
  </si>
  <si>
    <t xml:space="preserve">   Syntax: INDEX(return_range, MATCH(lookup_value, lookup_range, 0))</t>
  </si>
  <si>
    <t xml:space="preserve">   ✓ Can look up to the left (VLOOKUP cannot)</t>
  </si>
  <si>
    <t xml:space="preserve">   ✓ Column insertions don't break the formula</t>
  </si>
  <si>
    <t xml:space="preserve">   ✓ Works with rows or columns</t>
  </si>
  <si>
    <t>📊 SAMPLE DATA</t>
  </si>
  <si>
    <t>ProductID</t>
  </si>
  <si>
    <t>Product</t>
  </si>
  <si>
    <t>Category</t>
  </si>
  <si>
    <t>Price</t>
  </si>
  <si>
    <t>Stock</t>
  </si>
  <si>
    <t>Supplier</t>
  </si>
  <si>
    <t>P101</t>
  </si>
  <si>
    <t>Laptop</t>
  </si>
  <si>
    <t>Electronics</t>
  </si>
  <si>
    <t>TechCorp</t>
  </si>
  <si>
    <t>P102</t>
  </si>
  <si>
    <t>Mouse</t>
  </si>
  <si>
    <t>P103</t>
  </si>
  <si>
    <t>Keyboard</t>
  </si>
  <si>
    <t>P104</t>
  </si>
  <si>
    <t>Desk</t>
  </si>
  <si>
    <t>Furniture</t>
  </si>
  <si>
    <t>OfficePro</t>
  </si>
  <si>
    <t>P105</t>
  </si>
  <si>
    <t>Chair</t>
  </si>
  <si>
    <t>P106</t>
  </si>
  <si>
    <t>Notebook</t>
  </si>
  <si>
    <t>Supplies</t>
  </si>
  <si>
    <t>PaperCo</t>
  </si>
  <si>
    <t>P107</t>
  </si>
  <si>
    <t>Pen Set</t>
  </si>
  <si>
    <t>📌 EXAMPLE 1: Basic INDEX Function</t>
  </si>
  <si>
    <t>Task</t>
  </si>
  <si>
    <t>Row</t>
  </si>
  <si>
    <t>Column</t>
  </si>
  <si>
    <t>Result</t>
  </si>
  <si>
    <t>Formula</t>
  </si>
  <si>
    <t>Get value in row 3, col 2</t>
  </si>
  <si>
    <t>Get value in row 5, col 4</t>
  </si>
  <si>
    <t>📌 EXAMPLE 2: Basic MATCH Function</t>
  </si>
  <si>
    <t>Lookup Value</t>
  </si>
  <si>
    <t>Position</t>
  </si>
  <si>
    <t>Find position of 'P104'</t>
  </si>
  <si>
    <t>Find position of 'Keyboard'</t>
  </si>
  <si>
    <t>📌 EXAMPLE 3: INDEX-MATCH Combination (The Power Combo!)</t>
  </si>
  <si>
    <t>Find price for 'P103'</t>
  </si>
  <si>
    <t>Find supplier for 'Chair'</t>
  </si>
  <si>
    <t>Find stock for 'Notebook'</t>
  </si>
  <si>
    <t>📌 EXAMPLE 4: Two-Way Lookup with INDEX-MATCH-MATCH</t>
  </si>
  <si>
    <t>Look up a value by both row AND column criteria</t>
  </si>
  <si>
    <t>Q1</t>
  </si>
  <si>
    <t>Q2</t>
  </si>
  <si>
    <t>Q3</t>
  </si>
  <si>
    <t>Q4</t>
  </si>
  <si>
    <t>North</t>
  </si>
  <si>
    <t>South</t>
  </si>
  <si>
    <t>East</t>
  </si>
  <si>
    <t>West</t>
  </si>
  <si>
    <t>Region</t>
  </si>
  <si>
    <t>Quarter</t>
  </si>
  <si>
    <t>Sales</t>
  </si>
  <si>
    <t>🔗 INDIRECT Function - Dynamic Cell References</t>
  </si>
  <si>
    <t>INDIRECT Function: Returns the reference specified by a text string</t>
  </si>
  <si>
    <t xml:space="preserve">   Syntax: INDIRECT(ref_text, [a1_style])</t>
  </si>
  <si>
    <t xml:space="preserve">   ref_text: A text string that represents a cell reference</t>
  </si>
  <si>
    <t xml:space="preserve">   a1_style: TRUE (default) for A1 style, FALSE for R1C1 style</t>
  </si>
  <si>
    <t>✓ Create dynamic references that change based on cell values</t>
  </si>
  <si>
    <t>✓ Reference different sheets dynamically</t>
  </si>
  <si>
    <t>✓ Build references from concatenated text</t>
  </si>
  <si>
    <t>✓ Perfect for creating flexible, interactive reports</t>
  </si>
  <si>
    <t>Month</t>
  </si>
  <si>
    <t>Expenses</t>
  </si>
  <si>
    <t>Profit</t>
  </si>
  <si>
    <t>January</t>
  </si>
  <si>
    <t>February</t>
  </si>
  <si>
    <t>March</t>
  </si>
  <si>
    <t>April</t>
  </si>
  <si>
    <t>May</t>
  </si>
  <si>
    <t>📌 EXAMPLE 1: Basic INDIRECT - Reference from Text</t>
  </si>
  <si>
    <t>Cell Reference (Text)</t>
  </si>
  <si>
    <t>Explanation</t>
  </si>
  <si>
    <t>B18</t>
  </si>
  <si>
    <t>Gets value from cell B18</t>
  </si>
  <si>
    <t>D20</t>
  </si>
  <si>
    <t>Gets value from cell D20</t>
  </si>
  <si>
    <t>📌 EXAMPLE 2: Dynamic Column Selection</t>
  </si>
  <si>
    <t>Select a column letter to sum that entire column!</t>
  </si>
  <si>
    <t>Select Column</t>
  </si>
  <si>
    <t>Column Sum</t>
  </si>
  <si>
    <t>📌 EXAMPLE 3: INDIRECT with Named Ranges</t>
  </si>
  <si>
    <t>Use text to reference named ranges dynamically</t>
  </si>
  <si>
    <t>Month Name</t>
  </si>
  <si>
    <t>Named Range Text</t>
  </si>
  <si>
    <t>JanSales</t>
  </si>
  <si>
    <t>FebSales</t>
  </si>
  <si>
    <t>MarSales</t>
  </si>
  <si>
    <t>⚡ LET Function - Improved Efficiency and Clarity</t>
  </si>
  <si>
    <t>LET Function: Assigns names to calculation results within a formula</t>
  </si>
  <si>
    <t xml:space="preserve">   Syntax: LET(name1, value1, [name2, value2, ...], calculation)</t>
  </si>
  <si>
    <t>✓ Improves readability by naming intermediate calculations</t>
  </si>
  <si>
    <t>✓ Improves performance by calculating repeated expressions only once</t>
  </si>
  <si>
    <t>✓ Makes complex formulas easier to understand and debug</t>
  </si>
  <si>
    <t>✓ Reduces formula length when same calculation is used multiple times</t>
  </si>
  <si>
    <t>Example Structure:</t>
  </si>
  <si>
    <t xml:space="preserve">   =LET(</t>
  </si>
  <si>
    <t xml:space="preserve">       x, A1*2,           ← Define variable 'x' as A1 multiplied by 2</t>
  </si>
  <si>
    <t xml:space="preserve">       y, B1+10,          ← Define variable 'y' as B1 plus 10</t>
  </si>
  <si>
    <t xml:space="preserve">       x + y              ← Final calculation using the variables</t>
  </si>
  <si>
    <t xml:space="preserve">   )</t>
  </si>
  <si>
    <t>📊 SAMPLE DATA - Employee Performance</t>
  </si>
  <si>
    <t>Employee</t>
  </si>
  <si>
    <t>Base Salary</t>
  </si>
  <si>
    <t>Target</t>
  </si>
  <si>
    <t>Bonus Rate</t>
  </si>
  <si>
    <t>Alice</t>
  </si>
  <si>
    <t>Bob</t>
  </si>
  <si>
    <t>Carol</t>
  </si>
  <si>
    <t>David</t>
  </si>
  <si>
    <t>Emma</t>
  </si>
  <si>
    <t>📌 EXAMPLE 1: Bonus Calculation - Without LET vs With LET</t>
  </si>
  <si>
    <t>Task: Calculate bonus = (Sales - Target) × Bonus Rate, but only if Sales &gt; Target</t>
  </si>
  <si>
    <t>Without LET</t>
  </si>
  <si>
    <t>With LET</t>
  </si>
  <si>
    <t>Formula (Without LET)</t>
  </si>
  <si>
    <t>Formula (With LET)</t>
  </si>
  <si>
    <t>(same pattern)</t>
  </si>
  <si>
    <t>📌 EXAMPLE 2: LET with INDEX-MATCH - Clean Lookup Formulas</t>
  </si>
  <si>
    <t>LET makes complex lookups more readable by naming the match position</t>
  </si>
  <si>
    <t>Lookup Employee</t>
  </si>
  <si>
    <t>Total Comp (LET)</t>
  </si>
  <si>
    <t>LET names: pos, base, sales, target, rate, bonus</t>
  </si>
  <si>
    <t>See full formula in cell B43</t>
  </si>
  <si>
    <t>✅ BENEFITS OF USING LET</t>
  </si>
  <si>
    <t>Benefit</t>
  </si>
  <si>
    <t>Example</t>
  </si>
  <si>
    <t>Name calculations instead of repeating formulas</t>
  </si>
  <si>
    <t>sales instead of C23</t>
  </si>
  <si>
    <t>Calculate once, use multiple times</t>
  </si>
  <si>
    <t>Avoid recalculating MATCH</t>
  </si>
  <si>
    <t>Debugging</t>
  </si>
  <si>
    <t>Easier to identify which part fails</t>
  </si>
  <si>
    <t>Test each named variable</t>
  </si>
  <si>
    <t>Change in one place affects all uses</t>
  </si>
  <si>
    <t>Update 'rate' definition once</t>
  </si>
  <si>
    <t>📊 STUDENT GRADES DATABASE</t>
  </si>
  <si>
    <t>StudentID</t>
  </si>
  <si>
    <t>ExtraCurricular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</si>
  <si>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</si>
  <si>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</si>
  <si>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</si>
  <si>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</si>
  <si>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</si>
  <si>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</si>
  <si>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</si>
  <si>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</si>
  <si>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</si>
  <si>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Ivy Martinez</t>
  </si>
  <si>
    <t>S010</t>
  </si>
  <si>
    <t>Jack Anderson</t>
  </si>
  <si>
    <t>📋 GRADE SCALE REFERENCE</t>
  </si>
  <si>
    <t>📦 PRODUCT PRICING</t>
  </si>
  <si>
    <t>Min Score</t>
  </si>
  <si>
    <t>Max Score</t>
  </si>
  <si>
    <t>📈 QUARTERLY SALES BY REGION</t>
  </si>
  <si>
    <t>📝 PRACTICE EXERCISES</t>
  </si>
  <si>
    <t>Exercise 1: IF with AND/OR</t>
  </si>
  <si>
    <t>Using the Student Grades data, create a formula that returns "Top Performer"</t>
  </si>
  <si>
    <t>if a student has ALL subjects ≥ 80 AND has perfect attendance (100%)</t>
  </si>
  <si>
    <t>Exercise 2: IFS Function</t>
  </si>
  <si>
    <t>Create a formula to assign performance levels based on average score:</t>
  </si>
  <si>
    <t>90+: Excellent | 80-89: Good | 70-79: Average | 60-69: Below Avg | &lt;60: Needs Improvement</t>
  </si>
  <si>
    <t>Exercise 3: INDEX-MATCH</t>
  </si>
  <si>
    <t>Using the Product data, write a formula to find the Price of a product</t>
  </si>
  <si>
    <t>when you only know its Product name.</t>
  </si>
  <si>
    <t>Exercise 4: INDIRECT</t>
  </si>
  <si>
    <t>Create a dynamic formula that allows a user to type a quarter name (Q1, Q2, Q3, Q4)</t>
  </si>
  <si>
    <t>and returns the total sales for that quarter across all regions.</t>
  </si>
  <si>
    <t>Exercise 5: LET Function</t>
  </si>
  <si>
    <t>Rewrite Exercise 1 using LET to make it more readable, naming each score variable clearly.</t>
  </si>
  <si>
    <t>Exercise 6: VLOOKUP</t>
  </si>
  <si>
    <t>Using the Product data, use VLOOKUP to return the Category for a selected ProductID.</t>
  </si>
  <si>
    <t>Exercise 7: HLOOKUP</t>
  </si>
  <si>
    <t>Using the Quarterly Sales data, use HLOOKUP to return a selected quarter value from a horizontal summary table.</t>
  </si>
  <si>
    <t>Exercise 8: XLOOKUP</t>
  </si>
  <si>
    <t>Using the Product data, use XLOOKUP to return the Supplier for a selected Product name, and include a not-found message.</t>
  </si>
  <si>
    <t>Lookup Functions: VLOOKUP, HLOOKUP, and XLOOKUP</t>
  </si>
  <si>
    <t>KEY CONCEPTS</t>
  </si>
  <si>
    <t>VLOOKUP</t>
  </si>
  <si>
    <t>Searches vertically down the first column of a table and returns a value from another column.</t>
  </si>
  <si>
    <t>HLOOKUP</t>
  </si>
  <si>
    <t>Searches horizontally across the first row of a table and returns a value from another row.</t>
  </si>
  <si>
    <t>XLOOKUP</t>
  </si>
  <si>
    <t>Modern lookup function that can search left, right, up, or down and includes a built-in not-found result.</t>
  </si>
  <si>
    <t>Exact match</t>
  </si>
  <si>
    <t>Use FALSE in VLOOKUP/HLOOKUP or match_mode 0 in XLOOKUP when the lookup must match exactly.</t>
  </si>
  <si>
    <t>SAMPLE DATA - PRODUCT CATALOG</t>
  </si>
  <si>
    <t>EXAMPLE 1: VLOOKUP - Search Vertically by Product ID</t>
  </si>
  <si>
    <t>Notes</t>
  </si>
  <si>
    <t>Find price for P103</t>
  </si>
  <si>
    <t>Returns the 4th column from the table.</t>
  </si>
  <si>
    <t>Find supplier for P105</t>
  </si>
  <si>
    <t>Returns the 6th column from the table.</t>
  </si>
  <si>
    <t>EXAMPLE 2: HLOOKUP - Search Horizontally by Quarter</t>
  </si>
  <si>
    <t>Metric</t>
  </si>
  <si>
    <t>Lookup Quarter</t>
  </si>
  <si>
    <t>Find Q3 Sales</t>
  </si>
  <si>
    <t>Searches the top row and returns Sales from row 2.</t>
  </si>
  <si>
    <t>Find Q4 Profit</t>
  </si>
  <si>
    <t>Searches the top row and returns Profit from row 4.</t>
  </si>
  <si>
    <t>EXAMPLE 3: XLOOKUP - Modern Flexible Lookup</t>
  </si>
  <si>
    <t>Why XLOOKUP Helps</t>
  </si>
  <si>
    <t>Find price for Keyboard</t>
  </si>
  <si>
    <t>Looks up by Product and returns Price.</t>
  </si>
  <si>
    <t>Find ProductID for Chair</t>
  </si>
  <si>
    <t>Can return a value to the left of the lookup column.</t>
  </si>
  <si>
    <t>Find stock for P999</t>
  </si>
  <si>
    <t>P999</t>
  </si>
  <si>
    <t>Uses a built-in not-found message.</t>
  </si>
  <si>
    <t>COMPARISON: WHICH LOOKUP SHOULD I USE?</t>
  </si>
  <si>
    <t>Function</t>
  </si>
  <si>
    <t>Best For</t>
  </si>
  <si>
    <t>Limitation</t>
  </si>
  <si>
    <t>Recommended Use</t>
  </si>
  <si>
    <t>Vertical tables where lookup value is in the first column</t>
  </si>
  <si>
    <t>Cannot look left; column number can break if table changes</t>
  </si>
  <si>
    <t>Useful to recognize and maintain older workbooks</t>
  </si>
  <si>
    <t>Horizontal tables where lookup value is in the first row</t>
  </si>
  <si>
    <t>Less common; row number can break if table changes</t>
  </si>
  <si>
    <t>Useful for quarter/month layouts across columns</t>
  </si>
  <si>
    <t>Most modern lookup tasks</t>
  </si>
  <si>
    <t>Requires newer Excel versions</t>
  </si>
  <si>
    <t>Best default when available</t>
  </si>
  <si>
    <t>INDEX-MATCH</t>
  </si>
  <si>
    <t>Flexible and compatible lookup logic</t>
  </si>
  <si>
    <t>More pieces to understand</t>
  </si>
  <si>
    <t>Strong choice for flexible models and older Excel versions</t>
  </si>
  <si>
    <t>PRACTICE PROMPTS</t>
  </si>
  <si>
    <t>1. Use VLOOKUP to return the Category for ProductID P104.</t>
  </si>
  <si>
    <t>2. Use HLOOKUP to return the Expenses for Q2.</t>
  </si>
  <si>
    <t>3. Use XLOOKUP to return the Supplier for product Notebook.</t>
  </si>
  <si>
    <t>4. Use XLOOKUP to return Not found when a lookup value does not exist.</t>
  </si>
  <si>
    <t>5. Explain one reason XLOOKUP is easier to maintain than VLOOKUP.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</si>
</sst>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\$#,##0"/>
  </numFmts>
  <fonts count="1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onsolas"/>
      <family val="2"/>
    </font>
    <font>
      <sz val="8"/>
      <color theme="1"/>
      <name val="Consolas"/>
      <family val="2"/>
    </font>
    <font>
      <sz val="10"/>
      <color theme="1"/>
      <name val="Consolas"/>
      <family val="2"/>
    </font>
    <font>
      <b/>
      <sz val="10"/>
      <color rgb="FFFFFFFF"/>
      <name val="Consolas"/>
      <family val="2"/>
    </font>
    <font>
      <b/>
      <sz val="18"/>
      <color rgb="FF1F4E78"/>
      <name val="Aptos Narrow"/>
    </font>
    <font>
      <b/>
      <sz val="12"/>
      <color rgb="FFFFFFFF"/>
      <name val="Aptos Narrow"/>
    </font>
    <font>
      <b/>
      <sz val="12"/>
      <name val="Aptos Narrow"/>
    </font>
    <font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rgb="FFD9E2F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1" fillId="0" borderId="0" xfId="0" applyFont="1"/>
    <xf numFmtId="0" fontId="1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8" fillId="0" borderId="0" xfId="0" applyFont="1"/>
    <xf numFmtId="0" fontId="10" fillId="6" borderId="1" xfId="0" applyFont="1" applyFill="1" applyBorder="1"/>
    <xf numFmtId="0" fontId="11" fillId="6" borderId="1" xfId="0" applyFont="1" applyFill="1" applyBorder="1"/>
    <xf numFmtId="0" fontId="1" fillId="0" borderId="1" xfId="0" applyFont="1" applyBorder="1"/>
    <xf numFmtId="0" fontId="12" fillId="0" borderId="0" xfId="0" applyFont="1"/>
    <xf numFmtId="9" fontId="0" fillId="0" borderId="1" xfId="0" applyNumberFormat="1" applyBorder="1"/>
    <xf numFmtId="0" fontId="11" fillId="8" borderId="1" xfId="0" applyFont="1" applyFill="1" applyBorder="1"/>
    <xf numFmtId="0" fontId="11" fillId="5" borderId="1" xfId="0" applyFont="1" applyFill="1" applyBorder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10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7" borderId="0" xfId="0" applyFont="1" applyFill="1"/>
    <xf numFmtId="0" fontId="9" fillId="5" borderId="0" xfId="0" applyFont="1" applyFill="1"/>
    <xf numFmtId="0" fontId="9" fillId="8" borderId="0" xfId="0" applyFont="1" applyFill="1"/>
    <xf numFmtId="0" fontId="7" fillId="2" borderId="0" xfId="0" applyFont="1" applyFill="1"/>
    <xf numFmtId="0" fontId="3" fillId="0" borderId="0" xfId="0" applyFont="1"/>
    <xf numFmtId="0" fontId="1" fillId="7" borderId="0" xfId="0" applyFont="1" applyFill="1"/>
    <xf numFmtId="0" fontId="6" fillId="3" borderId="0" xfId="0" applyFont="1" applyFill="1"/>
    <xf numFmtId="0" fontId="1" fillId="8" borderId="0" xfId="0" applyFont="1" applyFill="1"/>
    <xf numFmtId="0" fontId="1" fillId="5" borderId="0" xfId="0" applyFont="1" applyFill="1"/>
    <xf numFmtId="0" fontId="13" fillId="3" borderId="0" xfId="0" applyFont="1" applyFill="1"/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G25" sqref="G25"/>
    </sheetView>
  </sheetViews>
  <sheetFormatPr baseColWidth="10" defaultRowHeight="16"/>
  <cols>
    <col min="1" max="1" width="30" customWidth="1"/>
    <col min="2" max="2" width="58.33203125" customWidth="1"/>
  </cols>
  <sheetData>
    <row r="1" spans="1:7" ht="40" customHeight="1">
      <c r="A1" s="30" t="s">
        <v>0</v>
      </c>
      <c r="B1" s="28"/>
      <c r="C1" s="28"/>
      <c r="D1" s="28"/>
      <c r="E1" s="28"/>
      <c r="F1" s="28"/>
      <c r="G1" s="28"/>
    </row>
    <row r="2" spans="1:7">
      <c r="A2" s="27" t="s">
        <v>1</v>
      </c>
      <c r="B2" s="28"/>
      <c r="C2" s="28"/>
      <c r="D2" s="28"/>
      <c r="E2" s="28"/>
      <c r="F2" s="28"/>
      <c r="G2" s="28"/>
    </row>
    <row r="4" spans="1:7" ht="19" customHeight="1">
      <c r="A4" s="29" t="s">
        <v>2</v>
      </c>
      <c r="B4" s="28"/>
      <c r="C4" s="28"/>
      <c r="D4" s="28"/>
      <c r="E4" s="28"/>
      <c r="F4" s="28"/>
      <c r="G4" s="28"/>
    </row>
    <row r="6" spans="1:7">
      <c r="A6" s="15" t="s">
        <v>3</v>
      </c>
    </row>
    <row r="7" spans="1:7">
      <c r="A7" s="16" t="s">
        <v>4</v>
      </c>
    </row>
    <row r="8" spans="1:7">
      <c r="A8" s="16" t="s">
        <v>5</v>
      </c>
    </row>
    <row r="9" spans="1:7">
      <c r="A9" s="16" t="s">
        <v>6</v>
      </c>
    </row>
    <row r="11" spans="1:7">
      <c r="A11" s="15" t="s">
        <v>7</v>
      </c>
    </row>
    <row r="12" spans="1:7">
      <c r="A12" s="16" t="s">
        <v>8</v>
      </c>
    </row>
    <row r="13" spans="1:7">
      <c r="A13" s="16" t="s">
        <v>9</v>
      </c>
    </row>
    <row r="14" spans="1:7">
      <c r="A14" s="16" t="s">
        <v>10</v>
      </c>
    </row>
    <row r="15" spans="1:7">
      <c r="A15" s="16" t="s">
        <v>11</v>
      </c>
    </row>
    <row r="16" spans="1:7">
      <c r="A16" s="17" t="s">
        <v>12</v>
      </c>
    </row>
    <row r="17" spans="1:7">
      <c r="A17" s="17" t="s">
        <v>13</v>
      </c>
    </row>
    <row r="18" spans="1:7" ht="19" customHeight="1">
      <c r="A18" s="31" t="s">
        <v>14</v>
      </c>
      <c r="B18" s="28"/>
      <c r="C18" s="28"/>
      <c r="D18" s="28"/>
      <c r="E18" s="28"/>
      <c r="F18" s="28"/>
      <c r="G18" s="28"/>
    </row>
    <row r="19" spans="1:7">
      <c r="A19" s="17" t="s">
        <v>15</v>
      </c>
    </row>
    <row r="20" spans="1:7">
      <c r="A20" s="16" t="s">
        <v>16</v>
      </c>
    </row>
    <row r="22" spans="1:7" ht="19">
      <c r="A22" s="14" t="s">
        <v>17</v>
      </c>
    </row>
    <row r="24" spans="1:7">
      <c r="A24" s="18" t="s">
        <v>18</v>
      </c>
      <c r="B24" s="18" t="s">
        <v>19</v>
      </c>
    </row>
    <row r="25" spans="1:7">
      <c r="A25" s="19" t="s">
        <v>20</v>
      </c>
      <c r="B25" s="19" t="s">
        <v>21</v>
      </c>
    </row>
    <row r="26" spans="1:7">
      <c r="A26" s="19" t="s">
        <v>22</v>
      </c>
      <c r="B26" s="19" t="s">
        <v>23</v>
      </c>
    </row>
    <row r="27" spans="1:7">
      <c r="A27" s="19" t="s">
        <v>24</v>
      </c>
      <c r="B27" s="19" t="s">
        <v>25</v>
      </c>
    </row>
    <row r="28" spans="1:7">
      <c r="A28" s="19" t="s">
        <v>26</v>
      </c>
      <c r="B28" s="19" t="s">
        <v>27</v>
      </c>
    </row>
    <row r="29" spans="1:7">
      <c r="A29" s="19" t="s">
        <v>28</v>
      </c>
      <c r="B29" s="19" t="s">
        <v>29</v>
      </c>
    </row>
    <row r="30" spans="1:7">
      <c r="A30" s="19" t="s">
        <v>30</v>
      </c>
      <c r="B30" s="19" t="s">
        <v>31</v>
      </c>
    </row>
    <row r="31" spans="1:7">
      <c r="A31" s="20" t="s">
        <v>32</v>
      </c>
      <c r="B31" s="16" t="s">
        <v>33</v>
      </c>
    </row>
  </sheetData>
  <mergeCells count="4">
    <mergeCell ref="A2:G2"/>
    <mergeCell ref="A4:G4"/>
    <mergeCell ref="A1:G1"/>
    <mergeCell ref="A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13" workbookViewId="0">
      <selection activeCell="F30" sqref="F30"/>
    </sheetView>
  </sheetViews>
  <sheetFormatPr baseColWidth="10" defaultRowHeight="16"/>
  <cols>
    <col min="1" max="1" width="20" customWidth="1"/>
    <col min="2" max="2" width="10" customWidth="1"/>
    <col min="3" max="3" width="11.6640625" customWidth="1"/>
    <col min="4" max="4" width="15" customWidth="1"/>
    <col min="5" max="5" width="13.33203125" customWidth="1"/>
    <col min="6" max="6" width="15" customWidth="1"/>
    <col min="7" max="7" width="58.33203125" customWidth="1"/>
  </cols>
  <sheetData>
    <row r="1" spans="1:8" ht="35" customHeight="1">
      <c r="A1" s="35" t="s">
        <v>34</v>
      </c>
      <c r="B1" s="28"/>
      <c r="C1" s="28"/>
      <c r="D1" s="28"/>
      <c r="E1" s="28"/>
      <c r="F1" s="28"/>
      <c r="G1" s="28"/>
      <c r="H1" s="28"/>
    </row>
    <row r="3" spans="1:8">
      <c r="A3" s="6" t="s">
        <v>35</v>
      </c>
    </row>
    <row r="5" spans="1:8">
      <c r="A5" t="s">
        <v>36</v>
      </c>
    </row>
    <row r="6" spans="1:8">
      <c r="A6" t="s">
        <v>37</v>
      </c>
    </row>
    <row r="8" spans="1:8">
      <c r="A8" t="s">
        <v>38</v>
      </c>
    </row>
    <row r="9" spans="1:8">
      <c r="A9" t="s">
        <v>39</v>
      </c>
    </row>
    <row r="11" spans="1:8">
      <c r="A11" t="s">
        <v>40</v>
      </c>
    </row>
    <row r="12" spans="1:8">
      <c r="A12" t="s">
        <v>41</v>
      </c>
    </row>
    <row r="14" spans="1:8">
      <c r="A14" t="s">
        <v>42</v>
      </c>
    </row>
    <row r="16" spans="1:8">
      <c r="A16" s="33" t="s">
        <v>43</v>
      </c>
      <c r="B16" s="28"/>
      <c r="C16" s="28"/>
      <c r="D16" s="28"/>
      <c r="E16" s="28"/>
      <c r="F16" s="28"/>
      <c r="G16" s="28"/>
      <c r="H16" s="28"/>
    </row>
    <row r="17" spans="1:8">
      <c r="A17" s="36" t="s">
        <v>44</v>
      </c>
      <c r="B17" s="28"/>
      <c r="C17" s="28"/>
      <c r="D17" s="28"/>
      <c r="E17" s="28"/>
      <c r="F17" s="28"/>
      <c r="G17" s="28"/>
      <c r="H17" s="28"/>
    </row>
    <row r="19" spans="1:8">
      <c r="A19" s="3" t="s">
        <v>45</v>
      </c>
      <c r="B19" s="3" t="s">
        <v>46</v>
      </c>
      <c r="C19" s="3" t="s">
        <v>47</v>
      </c>
      <c r="D19" s="3" t="s">
        <v>48</v>
      </c>
      <c r="E19" s="3" t="s">
        <v>49</v>
      </c>
      <c r="F19" s="3" t="s">
        <v>50</v>
      </c>
    </row>
    <row r="20" spans="1:8">
      <c r="A20" s="4" t="s">
        <v>51</v>
      </c>
      <c r="B20" s="4">
        <v>92</v>
      </c>
      <c r="C20" s="4">
        <v>88</v>
      </c>
      <c r="D20" s="4">
        <v>98</v>
      </c>
      <c r="E20" s="4" t="str">
        <f>IF(AND(B20&gt;=85,C20&gt;=85,D20&gt;=90),"Yes","No")</f>
        <v>Yes</v>
      </c>
      <c r="F20" s="7" t="str">
        <f>IF(AND(B20&gt;=85,C20&gt;=85,D20&gt;=90),"Yes","No")</f>
        <v>Yes</v>
      </c>
    </row>
    <row r="21" spans="1:8">
      <c r="A21" s="4" t="s">
        <v>52</v>
      </c>
      <c r="B21" s="4">
        <v>78</v>
      </c>
      <c r="C21" s="4">
        <v>82</v>
      </c>
      <c r="D21" s="4">
        <v>85</v>
      </c>
      <c r="E21" s="4" t="str">
        <f>IF(AND(B21&gt;=85,C21&gt;=85,D21&gt;=90),"Yes","No")</f>
        <v>No</v>
      </c>
      <c r="F21" s="7" t="str">
        <f>IF(AND(B21&gt;=85,C21&gt;=85,D21&gt;=90),"Yes","No")</f>
        <v>No</v>
      </c>
    </row>
    <row r="22" spans="1:8">
      <c r="A22" s="4" t="s">
        <v>53</v>
      </c>
      <c r="B22" s="4">
        <v>88</v>
      </c>
      <c r="C22" s="4">
        <v>91</v>
      </c>
      <c r="D22" s="4">
        <v>95</v>
      </c>
      <c r="E22" s="4" t="str">
        <f>IF(AND(B22&gt;=85,C22&gt;=85,D22&gt;=90),"Yes","No")</f>
        <v>Yes</v>
      </c>
      <c r="F22" s="7" t="str">
        <f>IF(AND(B22&gt;=85,C22&gt;=85,D22&gt;=90),"Yes","No")</f>
        <v>Yes</v>
      </c>
    </row>
    <row r="23" spans="1:8">
      <c r="A23" s="4" t="s">
        <v>54</v>
      </c>
      <c r="B23" s="4">
        <v>95</v>
      </c>
      <c r="C23" s="4">
        <v>98</v>
      </c>
      <c r="D23" s="4">
        <v>100</v>
      </c>
      <c r="E23" s="4" t="str">
        <f>IF(AND(B23&gt;=85,C23&gt;=85,D23&gt;=90),"Yes","No")</f>
        <v>Yes</v>
      </c>
      <c r="F23" s="7" t="str">
        <f>IF(AND(B23&gt;=85,C23&gt;=85,D23&gt;=90),"Yes","No")</f>
        <v>Yes</v>
      </c>
    </row>
    <row r="26" spans="1:8">
      <c r="A26" s="32" t="s">
        <v>55</v>
      </c>
      <c r="B26" s="28"/>
      <c r="C26" s="28"/>
      <c r="D26" s="28"/>
      <c r="E26" s="28"/>
      <c r="F26" s="28"/>
      <c r="G26" s="28"/>
      <c r="H26" s="28"/>
    </row>
    <row r="27" spans="1:8">
      <c r="A27" s="36" t="s">
        <v>56</v>
      </c>
      <c r="B27" s="28"/>
      <c r="C27" s="28"/>
      <c r="D27" s="28"/>
      <c r="E27" s="28"/>
      <c r="F27" s="28"/>
      <c r="G27" s="28"/>
      <c r="H27" s="28"/>
    </row>
    <row r="29" spans="1:8">
      <c r="A29" s="3" t="s">
        <v>45</v>
      </c>
      <c r="B29" s="3" t="s">
        <v>46</v>
      </c>
      <c r="C29" s="3" t="s">
        <v>47</v>
      </c>
      <c r="D29" s="3" t="s">
        <v>57</v>
      </c>
      <c r="E29" s="3" t="s">
        <v>58</v>
      </c>
      <c r="F29" s="3" t="s">
        <v>50</v>
      </c>
    </row>
    <row r="30" spans="1:8">
      <c r="A30" s="4" t="s">
        <v>51</v>
      </c>
      <c r="B30" s="4">
        <v>92</v>
      </c>
      <c r="C30" s="4">
        <v>88</v>
      </c>
      <c r="D30" s="4">
        <v>95</v>
      </c>
      <c r="E30" s="4" t="str">
        <f>IF(OR(B30&gt;=90,C30&gt;=90,D30&gt;=90),"Eligible","Not Eligible")</f>
        <v>Eligible</v>
      </c>
      <c r="F30" s="7" t="str">
        <f>IF(OR(B30&gt;=90,C30&gt;=90,D30&gt;=90),"Eligible","Not Eligible")</f>
        <v>Eligible</v>
      </c>
    </row>
    <row r="31" spans="1:8">
      <c r="A31" s="4" t="s">
        <v>52</v>
      </c>
      <c r="B31" s="4">
        <v>78</v>
      </c>
      <c r="C31" s="4">
        <v>82</v>
      </c>
      <c r="D31" s="4">
        <v>75</v>
      </c>
      <c r="E31" s="4" t="str">
        <f>IF(OR(B31&gt;=90,C31&gt;=90,D31&gt;=90),"Eligible","Not Eligible")</f>
        <v>Not Eligible</v>
      </c>
      <c r="F31" s="7" t="str">
        <f>IF(OR(B31&gt;=90,C31&gt;=90,D31&gt;=90),"Eligible","Not Eligible")</f>
        <v>Not Eligible</v>
      </c>
    </row>
    <row r="32" spans="1:8">
      <c r="A32" s="4" t="s">
        <v>59</v>
      </c>
      <c r="B32" s="4">
        <v>65</v>
      </c>
      <c r="C32" s="4">
        <v>70</v>
      </c>
      <c r="D32" s="4">
        <v>68</v>
      </c>
      <c r="E32" s="4" t="str">
        <f>IF(OR(B32&gt;=90,C32&gt;=90,D32&gt;=90),"Eligible","Not Eligible")</f>
        <v>Not Eligible</v>
      </c>
      <c r="F32" s="7" t="str">
        <f>IF(OR(B32&gt;=90,C32&gt;=90,D32&gt;=90),"Eligible","Not Eligible")</f>
        <v>Not Eligible</v>
      </c>
    </row>
    <row r="33" spans="1:8">
      <c r="A33" s="4" t="s">
        <v>54</v>
      </c>
      <c r="B33" s="4">
        <v>95</v>
      </c>
      <c r="C33" s="4">
        <v>98</v>
      </c>
      <c r="D33" s="4">
        <v>92</v>
      </c>
      <c r="E33" s="4" t="str">
        <f>IF(OR(B33&gt;=90,C33&gt;=90,D33&gt;=90),"Eligible","Not Eligible")</f>
        <v>Eligible</v>
      </c>
      <c r="F33" s="7" t="str">
        <f>IF(OR(B33&gt;=90,C33&gt;=90,D33&gt;=90),"Eligible","Not Eligible")</f>
        <v>Eligible</v>
      </c>
    </row>
    <row r="36" spans="1:8">
      <c r="A36" s="34" t="s">
        <v>60</v>
      </c>
      <c r="B36" s="28"/>
      <c r="C36" s="28"/>
      <c r="D36" s="28"/>
      <c r="E36" s="28"/>
      <c r="F36" s="28"/>
      <c r="G36" s="28"/>
      <c r="H36" s="28"/>
    </row>
    <row r="37" spans="1:8">
      <c r="A37" s="36" t="s">
        <v>61</v>
      </c>
      <c r="B37" s="28"/>
      <c r="C37" s="28"/>
      <c r="D37" s="28"/>
      <c r="E37" s="28"/>
      <c r="F37" s="28"/>
      <c r="G37" s="28"/>
      <c r="H37" s="28"/>
    </row>
    <row r="39" spans="1:8">
      <c r="A39" s="3" t="s">
        <v>45</v>
      </c>
      <c r="B39" s="3" t="s">
        <v>46</v>
      </c>
      <c r="C39" s="3" t="s">
        <v>47</v>
      </c>
      <c r="D39" s="3" t="s">
        <v>48</v>
      </c>
      <c r="E39" s="3" t="s">
        <v>62</v>
      </c>
      <c r="F39" s="3" t="s">
        <v>63</v>
      </c>
      <c r="G39" s="3" t="s">
        <v>50</v>
      </c>
    </row>
    <row r="40" spans="1:8">
      <c r="A40" s="4" t="s">
        <v>51</v>
      </c>
      <c r="B40" s="4">
        <v>92</v>
      </c>
      <c r="C40" s="4">
        <v>88</v>
      </c>
      <c r="D40" s="4">
        <v>98</v>
      </c>
      <c r="E40" s="4" t="s">
        <v>64</v>
      </c>
      <c r="F40" s="4" t="str">
        <f>IF(OR(AND(B40&gt;=80,C40&gt;=80),AND(D40=100,E40="Yes")),"Yes","No")</f>
        <v>Yes</v>
      </c>
      <c r="G40" s="8" t="str">
        <f>IF(OR(AND(B40&gt;=80,C40&gt;=80),AND(D40=100,E40="Yes")),"Yes","No")</f>
        <v>Yes</v>
      </c>
    </row>
    <row r="41" spans="1:8">
      <c r="A41" s="4" t="s">
        <v>65</v>
      </c>
      <c r="B41" s="4">
        <v>72</v>
      </c>
      <c r="C41" s="4">
        <v>68</v>
      </c>
      <c r="D41" s="4">
        <v>80</v>
      </c>
      <c r="E41" s="4" t="s">
        <v>66</v>
      </c>
      <c r="F41" s="4" t="str">
        <f>IF(OR(AND(B41&gt;=80,C41&gt;=80),AND(D41=100,E41="Yes")),"Yes","No")</f>
        <v>No</v>
      </c>
      <c r="G41" s="8" t="str">
        <f>IF(OR(AND(B41&gt;=80,C41&gt;=80),AND(D41=100,E41="Yes")),"Yes","No")</f>
        <v>No</v>
      </c>
    </row>
    <row r="42" spans="1:8">
      <c r="A42" s="4" t="s">
        <v>54</v>
      </c>
      <c r="B42" s="4">
        <v>95</v>
      </c>
      <c r="C42" s="4">
        <v>98</v>
      </c>
      <c r="D42" s="4">
        <v>100</v>
      </c>
      <c r="E42" s="4" t="s">
        <v>64</v>
      </c>
      <c r="F42" s="4" t="str">
        <f>IF(OR(AND(B42&gt;=80,C42&gt;=80),AND(D42=100,E42="Yes")),"Yes","No")</f>
        <v>Yes</v>
      </c>
      <c r="G42" s="8" t="str">
        <f>IF(OR(AND(B42&gt;=80,C42&gt;=80),AND(D42=100,E42="Yes")),"Yes","No")</f>
        <v>Yes</v>
      </c>
    </row>
    <row r="43" spans="1:8">
      <c r="A43" s="4" t="s">
        <v>67</v>
      </c>
      <c r="B43" s="4">
        <v>58</v>
      </c>
      <c r="C43" s="4">
        <v>55</v>
      </c>
      <c r="D43" s="4">
        <v>100</v>
      </c>
      <c r="E43" s="4" t="s">
        <v>64</v>
      </c>
      <c r="F43" s="4" t="str">
        <f>IF(OR(AND(B43&gt;=80,C43&gt;=80),AND(D43=100,E43="Yes")),"Yes","No")</f>
        <v>Yes</v>
      </c>
      <c r="G43" s="8" t="str">
        <f>IF(OR(AND(B43&gt;=80,C43&gt;=80),AND(D43=100,E43="Yes")),"Yes","No")</f>
        <v>Yes</v>
      </c>
    </row>
  </sheetData>
  <mergeCells count="7">
    <mergeCell ref="A26:H26"/>
    <mergeCell ref="A16:H16"/>
    <mergeCell ref="A36:H36"/>
    <mergeCell ref="A1:H1"/>
    <mergeCell ref="A37:H37"/>
    <mergeCell ref="A27:H27"/>
    <mergeCell ref="A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24" workbookViewId="0">
      <selection sqref="A1:H1"/>
    </sheetView>
  </sheetViews>
  <sheetFormatPr baseColWidth="10" defaultRowHeight="16"/>
  <cols>
    <col min="1" max="1" width="20" customWidth="1"/>
    <col min="2" max="2" width="15" customWidth="1"/>
    <col min="3" max="3" width="21.6640625" customWidth="1"/>
    <col min="4" max="4" width="66.6640625" customWidth="1"/>
  </cols>
  <sheetData>
    <row r="1" spans="1:8" ht="35" customHeight="1">
      <c r="A1" s="35" t="s">
        <v>68</v>
      </c>
      <c r="B1" s="28"/>
      <c r="C1" s="28"/>
      <c r="D1" s="28"/>
      <c r="E1" s="28"/>
      <c r="F1" s="28"/>
      <c r="G1" s="28"/>
      <c r="H1" s="28"/>
    </row>
    <row r="3" spans="1:8">
      <c r="A3" s="6" t="s">
        <v>35</v>
      </c>
    </row>
    <row r="5" spans="1:8">
      <c r="A5" t="s">
        <v>69</v>
      </c>
    </row>
    <row r="6" spans="1:8">
      <c r="A6" t="s">
        <v>70</v>
      </c>
    </row>
    <row r="7" spans="1:8">
      <c r="A7" t="s">
        <v>71</v>
      </c>
    </row>
    <row r="8" spans="1:8">
      <c r="A8" t="s">
        <v>72</v>
      </c>
    </row>
    <row r="10" spans="1:8">
      <c r="A10" t="s">
        <v>73</v>
      </c>
    </row>
    <row r="11" spans="1:8">
      <c r="A11" t="s">
        <v>74</v>
      </c>
    </row>
    <row r="12" spans="1:8">
      <c r="A12" t="s">
        <v>75</v>
      </c>
    </row>
    <row r="13" spans="1:8">
      <c r="A13" t="s">
        <v>76</v>
      </c>
    </row>
    <row r="15" spans="1:8">
      <c r="A15" s="2" t="s">
        <v>77</v>
      </c>
    </row>
    <row r="16" spans="1:8">
      <c r="A16" s="3" t="s">
        <v>78</v>
      </c>
      <c r="B16" s="3" t="s">
        <v>79</v>
      </c>
    </row>
    <row r="17" spans="1:8">
      <c r="A17" s="4" t="s">
        <v>80</v>
      </c>
      <c r="B17" s="4" t="s">
        <v>81</v>
      </c>
    </row>
    <row r="18" spans="1:8">
      <c r="A18" s="4" t="s">
        <v>82</v>
      </c>
      <c r="B18" s="4" t="s">
        <v>83</v>
      </c>
    </row>
    <row r="19" spans="1:8">
      <c r="A19" s="4" t="s">
        <v>84</v>
      </c>
      <c r="B19" s="4" t="s">
        <v>85</v>
      </c>
    </row>
    <row r="20" spans="1:8">
      <c r="A20" s="4" t="s">
        <v>86</v>
      </c>
      <c r="B20" s="4" t="s">
        <v>87</v>
      </c>
    </row>
    <row r="21" spans="1:8">
      <c r="A21" s="4" t="s">
        <v>88</v>
      </c>
      <c r="B21" s="4" t="s">
        <v>89</v>
      </c>
    </row>
    <row r="24" spans="1:8">
      <c r="A24" s="33" t="s">
        <v>90</v>
      </c>
      <c r="B24" s="28"/>
      <c r="C24" s="28"/>
      <c r="D24" s="28"/>
      <c r="E24" s="28"/>
      <c r="F24" s="28"/>
      <c r="G24" s="28"/>
      <c r="H24" s="28"/>
    </row>
    <row r="26" spans="1:8">
      <c r="A26" s="3" t="s">
        <v>45</v>
      </c>
      <c r="B26" s="3" t="s">
        <v>91</v>
      </c>
      <c r="C26" s="3" t="s">
        <v>92</v>
      </c>
      <c r="D26" s="3" t="s">
        <v>50</v>
      </c>
    </row>
    <row r="27" spans="1:8">
      <c r="A27" s="4" t="s">
        <v>51</v>
      </c>
      <c r="B27" s="4">
        <v>92</v>
      </c>
      <c r="C27" s="4" t="str">
        <f t="array" ref="C27">_xlfn.IFS(B27&gt;=90,"A",B27&gt;=80,"B",B27&gt;=70,"C",B27&gt;=60,"D",TRUE,"F")</f>
        <v>A</v>
      </c>
      <c r="D27" s="7" t="str">
        <f t="array" ref="D27">_xlfn.IFS(B27&gt;=90,"A",B27&gt;=80,"B",B27&gt;=70,"C",B27&gt;=60,"D",TRUE,"F")</f>
        <v>A</v>
      </c>
    </row>
    <row r="28" spans="1:8">
      <c r="A28" s="4" t="s">
        <v>52</v>
      </c>
      <c r="B28" s="4">
        <v>78</v>
      </c>
      <c r="C28" s="4" t="str">
        <f t="array" ref="C28">_xlfn.IFS(B28&gt;=90,"A",B28&gt;=80,"B",B28&gt;=70,"C",B28&gt;=60,"D",TRUE,"F")</f>
        <v>C</v>
      </c>
      <c r="D28" s="7" t="s">
        <v>93</v>
      </c>
    </row>
    <row r="29" spans="1:8">
      <c r="A29" s="4" t="s">
        <v>59</v>
      </c>
      <c r="B29" s="4">
        <v>65</v>
      </c>
      <c r="C29" s="4" t="str">
        <f t="array" ref="C29">_xlfn.IFS(B29&gt;=90,"A",B29&gt;=80,"B",B29&gt;=70,"C",B29&gt;=60,"D",TRUE,"F")</f>
        <v>D</v>
      </c>
      <c r="D29" s="7" t="s">
        <v>93</v>
      </c>
    </row>
    <row r="30" spans="1:8">
      <c r="A30" s="4" t="s">
        <v>94</v>
      </c>
      <c r="B30" s="4">
        <v>45</v>
      </c>
      <c r="C30" s="4" t="str">
        <f t="array" ref="C30">_xlfn.IFS(B30&gt;=90,"A",B30&gt;=80,"B",B30&gt;=70,"C",B30&gt;=60,"D",TRUE,"F")</f>
        <v>F</v>
      </c>
      <c r="D30" s="7" t="s">
        <v>93</v>
      </c>
    </row>
    <row r="31" spans="1:8">
      <c r="A31" s="4" t="s">
        <v>54</v>
      </c>
      <c r="B31" s="4">
        <v>95</v>
      </c>
      <c r="C31" s="4" t="str">
        <f t="array" ref="C31">_xlfn.IFS(B31&gt;=90,"A",B31&gt;=80,"B",B31&gt;=70,"C",B31&gt;=60,"D",TRUE,"F")</f>
        <v>A</v>
      </c>
      <c r="D31" s="7" t="s">
        <v>93</v>
      </c>
    </row>
    <row r="34" spans="1:8">
      <c r="A34" s="32" t="s">
        <v>95</v>
      </c>
      <c r="B34" s="28"/>
      <c r="C34" s="28"/>
      <c r="D34" s="28"/>
      <c r="E34" s="28"/>
      <c r="F34" s="28"/>
      <c r="G34" s="28"/>
      <c r="H34" s="28"/>
    </row>
    <row r="36" spans="1:8">
      <c r="A36" s="3" t="s">
        <v>45</v>
      </c>
      <c r="B36" s="3" t="s">
        <v>91</v>
      </c>
      <c r="C36" s="3" t="s">
        <v>96</v>
      </c>
      <c r="D36" s="3" t="s">
        <v>50</v>
      </c>
    </row>
    <row r="37" spans="1:8">
      <c r="A37" s="4" t="s">
        <v>51</v>
      </c>
      <c r="B37" s="4">
        <v>92</v>
      </c>
      <c r="C37" s="4" t="str">
        <f>IF(B37&gt;=90,"A",IF(B37&gt;=80,"B",IF(B37&gt;=70,"C",IF(B37&gt;=60,"D","F"))))</f>
        <v>A</v>
      </c>
      <c r="D37" s="7" t="str">
        <f>IF(B37&gt;=90,"A",IF(B37&gt;=80,"B",IF(B37&gt;=70,"C",IF(B37&gt;=60,"D","F"))))</f>
        <v>A</v>
      </c>
    </row>
    <row r="38" spans="1:8">
      <c r="A38" s="4" t="s">
        <v>52</v>
      </c>
      <c r="B38" s="4">
        <v>78</v>
      </c>
      <c r="C38" s="4" t="str">
        <f>IF(B38&gt;=90,"A",IF(B38&gt;=80,"B",IF(B38&gt;=70,"C",IF(B38&gt;=60,"D","F"))))</f>
        <v>C</v>
      </c>
      <c r="D38" s="7" t="s">
        <v>93</v>
      </c>
    </row>
    <row r="39" spans="1:8">
      <c r="A39" s="4" t="s">
        <v>59</v>
      </c>
      <c r="B39" s="4">
        <v>65</v>
      </c>
      <c r="C39" s="4" t="str">
        <f>IF(B39&gt;=90,"A",IF(B39&gt;=80,"B",IF(B39&gt;=70,"C",IF(B39&gt;=60,"D","F"))))</f>
        <v>D</v>
      </c>
      <c r="D39" s="7" t="s">
        <v>93</v>
      </c>
    </row>
    <row r="40" spans="1:8">
      <c r="A40" s="4" t="s">
        <v>94</v>
      </c>
      <c r="B40" s="4">
        <v>45</v>
      </c>
      <c r="C40" s="4" t="str">
        <f>IF(B40&gt;=90,"A",IF(B40&gt;=80,"B",IF(B40&gt;=70,"C",IF(B40&gt;=60,"D","F"))))</f>
        <v>F</v>
      </c>
      <c r="D40" s="7" t="s">
        <v>93</v>
      </c>
    </row>
    <row r="41" spans="1:8">
      <c r="A41" s="4" t="s">
        <v>54</v>
      </c>
      <c r="B41" s="4">
        <v>95</v>
      </c>
      <c r="C41" s="4" t="str">
        <f>IF(B41&gt;=90,"A",IF(B41&gt;=80,"B",IF(B41&gt;=70,"C",IF(B41&gt;=60,"D","F"))))</f>
        <v>A</v>
      </c>
      <c r="D41" s="7" t="s">
        <v>93</v>
      </c>
    </row>
    <row r="44" spans="1:8">
      <c r="A44" s="34" t="s">
        <v>97</v>
      </c>
      <c r="B44" s="28"/>
      <c r="C44" s="28"/>
      <c r="D44" s="28"/>
    </row>
    <row r="46" spans="1:8">
      <c r="A46" s="3" t="s">
        <v>98</v>
      </c>
      <c r="B46" s="3" t="s">
        <v>99</v>
      </c>
      <c r="C46" s="3" t="s">
        <v>100</v>
      </c>
    </row>
    <row r="47" spans="1:8">
      <c r="A47" s="4" t="s">
        <v>101</v>
      </c>
      <c r="B47" s="4" t="s">
        <v>102</v>
      </c>
      <c r="C47" s="4" t="s">
        <v>103</v>
      </c>
    </row>
    <row r="48" spans="1:8">
      <c r="A48" s="4" t="s">
        <v>104</v>
      </c>
      <c r="B48" s="4" t="s">
        <v>105</v>
      </c>
      <c r="C48" s="4" t="s">
        <v>106</v>
      </c>
    </row>
    <row r="49" spans="1:3">
      <c r="A49" s="4" t="s">
        <v>107</v>
      </c>
      <c r="B49" s="4" t="s">
        <v>108</v>
      </c>
      <c r="C49" s="4" t="s">
        <v>109</v>
      </c>
    </row>
    <row r="50" spans="1:3">
      <c r="A50" s="4" t="s">
        <v>110</v>
      </c>
      <c r="B50" s="4" t="s">
        <v>111</v>
      </c>
      <c r="C50" s="4" t="s">
        <v>112</v>
      </c>
    </row>
    <row r="51" spans="1:3">
      <c r="A51" s="4" t="s">
        <v>113</v>
      </c>
      <c r="B51" s="4" t="s">
        <v>114</v>
      </c>
      <c r="C51" s="4" t="s">
        <v>114</v>
      </c>
    </row>
  </sheetData>
  <mergeCells count="4">
    <mergeCell ref="A1:H1"/>
    <mergeCell ref="A24:H24"/>
    <mergeCell ref="A44:D44"/>
    <mergeCell ref="A34:H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6"/>
  <sheetViews>
    <sheetView workbookViewId="0">
      <pane ySplit="12" topLeftCell="A57" activePane="bottomLeft" state="frozen"/>
      <selection pane="bottomLeft" sqref="A1:H1"/>
    </sheetView>
  </sheetViews>
  <sheetFormatPr baseColWidth="10" defaultColWidth="8.83203125" defaultRowHeight="16"/>
  <cols>
    <col min="1" max="1" width="24" customWidth="1"/>
    <col min="2" max="4" width="18" customWidth="1"/>
    <col min="5" max="5" width="26" customWidth="1"/>
    <col min="6" max="6" width="44" customWidth="1"/>
    <col min="7" max="7" width="24" customWidth="1"/>
    <col min="8" max="8" width="22" customWidth="1"/>
  </cols>
  <sheetData>
    <row r="1" spans="1:8" ht="24">
      <c r="A1" s="48" t="s">
        <v>308</v>
      </c>
      <c r="B1" s="28"/>
      <c r="C1" s="28"/>
      <c r="D1" s="28"/>
      <c r="E1" s="28"/>
      <c r="F1" s="28"/>
      <c r="G1" s="28"/>
      <c r="H1" s="28"/>
    </row>
    <row r="3" spans="1:8">
      <c r="A3" s="45" t="s">
        <v>309</v>
      </c>
      <c r="B3" s="28"/>
      <c r="C3" s="28"/>
      <c r="D3" s="28"/>
      <c r="E3" s="28"/>
      <c r="F3" s="28"/>
      <c r="G3" s="28"/>
      <c r="H3" s="28"/>
    </row>
    <row r="5" spans="1:8">
      <c r="A5" s="20" t="s">
        <v>310</v>
      </c>
      <c r="B5" s="43" t="s">
        <v>311</v>
      </c>
      <c r="C5" s="28"/>
      <c r="D5" s="28"/>
      <c r="E5" s="28"/>
      <c r="F5" s="28"/>
      <c r="G5" s="28"/>
      <c r="H5" s="28"/>
    </row>
    <row r="6" spans="1:8">
      <c r="A6" s="20" t="s">
        <v>312</v>
      </c>
      <c r="B6" s="43" t="s">
        <v>313</v>
      </c>
      <c r="C6" s="28"/>
      <c r="D6" s="28"/>
      <c r="E6" s="28"/>
      <c r="F6" s="28"/>
      <c r="G6" s="28"/>
      <c r="H6" s="28"/>
    </row>
    <row r="7" spans="1:8">
      <c r="A7" s="20" t="s">
        <v>314</v>
      </c>
      <c r="B7" s="43" t="s">
        <v>315</v>
      </c>
      <c r="C7" s="28"/>
      <c r="D7" s="28"/>
      <c r="E7" s="28"/>
      <c r="F7" s="28"/>
      <c r="G7" s="28"/>
      <c r="H7" s="28"/>
    </row>
    <row r="8" spans="1:8">
      <c r="A8" s="20" t="s">
        <v>316</v>
      </c>
      <c r="B8" s="43" t="s">
        <v>317</v>
      </c>
      <c r="C8" s="28"/>
      <c r="D8" s="28"/>
      <c r="E8" s="28"/>
      <c r="F8" s="28"/>
      <c r="G8" s="28"/>
      <c r="H8" s="28"/>
    </row>
    <row r="11" spans="1:8">
      <c r="A11" s="47" t="s">
        <v>318</v>
      </c>
      <c r="B11" s="28"/>
      <c r="C11" s="28"/>
      <c r="D11" s="28"/>
      <c r="E11" s="28"/>
      <c r="F11" s="28"/>
      <c r="G11" s="28"/>
      <c r="H11" s="28"/>
    </row>
    <row r="13" spans="1:8" ht="17">
      <c r="A13" s="22" t="s">
        <v>128</v>
      </c>
      <c r="B13" s="22" t="s">
        <v>129</v>
      </c>
      <c r="C13" s="22" t="s">
        <v>130</v>
      </c>
      <c r="D13" s="22" t="s">
        <v>131</v>
      </c>
      <c r="E13" s="22" t="s">
        <v>132</v>
      </c>
      <c r="F13" s="22" t="s">
        <v>133</v>
      </c>
    </row>
    <row r="14" spans="1:8" ht="17">
      <c r="A14" s="23" t="s">
        <v>134</v>
      </c>
      <c r="B14" s="23" t="s">
        <v>135</v>
      </c>
      <c r="C14" s="23" t="s">
        <v>136</v>
      </c>
      <c r="D14" s="24">
        <v>999</v>
      </c>
      <c r="E14" s="23">
        <v>50</v>
      </c>
      <c r="F14" s="23" t="s">
        <v>137</v>
      </c>
    </row>
    <row r="15" spans="1:8" ht="17">
      <c r="A15" s="23" t="s">
        <v>138</v>
      </c>
      <c r="B15" s="23" t="s">
        <v>139</v>
      </c>
      <c r="C15" s="23" t="s">
        <v>136</v>
      </c>
      <c r="D15" s="24">
        <v>25</v>
      </c>
      <c r="E15" s="23">
        <v>200</v>
      </c>
      <c r="F15" s="23" t="s">
        <v>137</v>
      </c>
    </row>
    <row r="16" spans="1:8" ht="17">
      <c r="A16" s="23" t="s">
        <v>140</v>
      </c>
      <c r="B16" s="23" t="s">
        <v>141</v>
      </c>
      <c r="C16" s="23" t="s">
        <v>136</v>
      </c>
      <c r="D16" s="24">
        <v>75</v>
      </c>
      <c r="E16" s="23">
        <v>150</v>
      </c>
      <c r="F16" s="23" t="s">
        <v>137</v>
      </c>
    </row>
    <row r="17" spans="1:8" ht="17">
      <c r="A17" s="23" t="s">
        <v>142</v>
      </c>
      <c r="B17" s="23" t="s">
        <v>143</v>
      </c>
      <c r="C17" s="23" t="s">
        <v>144</v>
      </c>
      <c r="D17" s="24">
        <v>350</v>
      </c>
      <c r="E17" s="23">
        <v>30</v>
      </c>
      <c r="F17" s="23" t="s">
        <v>145</v>
      </c>
    </row>
    <row r="18" spans="1:8" ht="17">
      <c r="A18" s="23" t="s">
        <v>146</v>
      </c>
      <c r="B18" s="23" t="s">
        <v>147</v>
      </c>
      <c r="C18" s="23" t="s">
        <v>144</v>
      </c>
      <c r="D18" s="24">
        <v>250</v>
      </c>
      <c r="E18" s="23">
        <v>45</v>
      </c>
      <c r="F18" s="23" t="s">
        <v>145</v>
      </c>
    </row>
    <row r="19" spans="1:8" ht="17">
      <c r="A19" s="23" t="s">
        <v>148</v>
      </c>
      <c r="B19" s="23" t="s">
        <v>149</v>
      </c>
      <c r="C19" s="23" t="s">
        <v>150</v>
      </c>
      <c r="D19" s="24">
        <v>5</v>
      </c>
      <c r="E19" s="23">
        <v>500</v>
      </c>
      <c r="F19" s="23" t="s">
        <v>151</v>
      </c>
    </row>
    <row r="20" spans="1:8" ht="17">
      <c r="A20" s="23" t="s">
        <v>152</v>
      </c>
      <c r="B20" s="23" t="s">
        <v>153</v>
      </c>
      <c r="C20" s="23" t="s">
        <v>150</v>
      </c>
      <c r="D20" s="24">
        <v>12</v>
      </c>
      <c r="E20" s="23">
        <v>300</v>
      </c>
      <c r="F20" s="23" t="s">
        <v>151</v>
      </c>
    </row>
    <row r="23" spans="1:8">
      <c r="A23" s="45" t="s">
        <v>319</v>
      </c>
      <c r="B23" s="28"/>
      <c r="C23" s="28"/>
      <c r="D23" s="28"/>
      <c r="E23" s="28"/>
      <c r="F23" s="28"/>
      <c r="G23" s="28"/>
      <c r="H23" s="28"/>
    </row>
    <row r="25" spans="1:8" ht="17">
      <c r="A25" s="25" t="s">
        <v>155</v>
      </c>
      <c r="B25" s="25" t="s">
        <v>163</v>
      </c>
      <c r="C25" s="25" t="s">
        <v>158</v>
      </c>
      <c r="D25" s="25" t="s">
        <v>50</v>
      </c>
      <c r="E25" s="25" t="s">
        <v>320</v>
      </c>
    </row>
    <row r="26" spans="1:8" ht="34">
      <c r="A26" s="23" t="s">
        <v>321</v>
      </c>
      <c r="B26" s="23" t="s">
        <v>140</v>
      </c>
      <c r="C26" s="23">
        <f>VLOOKUP(B26,$A$14:$F$20,4,FALSE)</f>
        <v>75</v>
      </c>
      <c r="D26" s="23">
        <f>VLOOKUP(B26,$A$14:$F$20,4,FALSE)</f>
        <v>75</v>
      </c>
      <c r="E26" s="23" t="s">
        <v>322</v>
      </c>
    </row>
    <row r="27" spans="1:8" ht="34">
      <c r="A27" s="23" t="s">
        <v>323</v>
      </c>
      <c r="B27" s="23" t="s">
        <v>146</v>
      </c>
      <c r="C27" s="23" t="str">
        <f>VLOOKUP(B27,$A$14:$F$20,6,FALSE)</f>
        <v>OfficePro</v>
      </c>
      <c r="D27" s="23" t="str">
        <f>VLOOKUP(B27,$A$14:$F$20,6,FALSE)</f>
        <v>OfficePro</v>
      </c>
      <c r="E27" s="23" t="s">
        <v>324</v>
      </c>
    </row>
    <row r="30" spans="1:8">
      <c r="A30" s="46" t="s">
        <v>325</v>
      </c>
      <c r="B30" s="28"/>
      <c r="C30" s="28"/>
      <c r="D30" s="28"/>
      <c r="E30" s="28"/>
      <c r="F30" s="28"/>
      <c r="G30" s="28"/>
      <c r="H30" s="28"/>
    </row>
    <row r="32" spans="1:8" ht="17">
      <c r="A32" s="26" t="s">
        <v>326</v>
      </c>
      <c r="B32" s="26" t="s">
        <v>173</v>
      </c>
      <c r="C32" s="26" t="s">
        <v>174</v>
      </c>
      <c r="D32" s="26" t="s">
        <v>175</v>
      </c>
      <c r="E32" s="26" t="s">
        <v>176</v>
      </c>
    </row>
    <row r="33" spans="1:8" ht="17">
      <c r="A33" s="23" t="s">
        <v>183</v>
      </c>
      <c r="B33" s="24">
        <v>45000</v>
      </c>
      <c r="C33" s="24">
        <v>52000</v>
      </c>
      <c r="D33" s="24">
        <v>48000</v>
      </c>
      <c r="E33" s="24">
        <v>61000</v>
      </c>
    </row>
    <row r="34" spans="1:8" ht="17">
      <c r="A34" s="23" t="s">
        <v>194</v>
      </c>
      <c r="B34" s="24">
        <v>28000</v>
      </c>
      <c r="C34" s="24">
        <v>31000</v>
      </c>
      <c r="D34" s="24">
        <v>30000</v>
      </c>
      <c r="E34" s="24">
        <v>36000</v>
      </c>
    </row>
    <row r="35" spans="1:8" ht="17">
      <c r="A35" s="23" t="s">
        <v>195</v>
      </c>
      <c r="B35" s="24">
        <v>17000</v>
      </c>
      <c r="C35" s="24">
        <v>21000</v>
      </c>
      <c r="D35" s="24">
        <v>18000</v>
      </c>
      <c r="E35" s="24">
        <v>25000</v>
      </c>
    </row>
    <row r="38" spans="1:8" ht="17">
      <c r="A38" s="26" t="s">
        <v>155</v>
      </c>
      <c r="B38" s="26" t="s">
        <v>327</v>
      </c>
      <c r="C38" s="26" t="s">
        <v>158</v>
      </c>
      <c r="D38" s="26" t="s">
        <v>50</v>
      </c>
      <c r="E38" s="26" t="s">
        <v>320</v>
      </c>
    </row>
    <row r="39" spans="1:8" ht="34">
      <c r="A39" s="23" t="s">
        <v>328</v>
      </c>
      <c r="B39" s="23" t="s">
        <v>175</v>
      </c>
      <c r="C39" s="23">
        <f>HLOOKUP(B39,$B$32:$E$35,2,FALSE)</f>
        <v>48000</v>
      </c>
      <c r="D39" s="23">
        <f>HLOOKUP(B39,$B$32:$E$35,2,FALSE)</f>
        <v>48000</v>
      </c>
      <c r="E39" s="23" t="s">
        <v>329</v>
      </c>
    </row>
    <row r="40" spans="1:8" ht="34">
      <c r="A40" s="23" t="s">
        <v>330</v>
      </c>
      <c r="B40" s="23" t="s">
        <v>176</v>
      </c>
      <c r="C40" s="23">
        <f>HLOOKUP(B40,$B$32:$E$35,4,FALSE)</f>
        <v>25000</v>
      </c>
      <c r="D40" s="23">
        <f>HLOOKUP(B40,$B$32:$E$35,4,FALSE)</f>
        <v>25000</v>
      </c>
      <c r="E40" s="23" t="s">
        <v>331</v>
      </c>
    </row>
    <row r="43" spans="1:8">
      <c r="A43" s="45" t="s">
        <v>332</v>
      </c>
      <c r="B43" s="28"/>
      <c r="C43" s="28"/>
      <c r="D43" s="28"/>
      <c r="E43" s="28"/>
      <c r="F43" s="28"/>
      <c r="G43" s="28"/>
      <c r="H43" s="28"/>
    </row>
    <row r="45" spans="1:8" ht="17">
      <c r="A45" s="25" t="s">
        <v>155</v>
      </c>
      <c r="B45" s="25" t="s">
        <v>163</v>
      </c>
      <c r="C45" s="25" t="s">
        <v>158</v>
      </c>
      <c r="D45" s="25" t="s">
        <v>50</v>
      </c>
      <c r="E45" s="25" t="s">
        <v>333</v>
      </c>
    </row>
    <row r="46" spans="1:8" ht="34">
      <c r="A46" s="23" t="s">
        <v>334</v>
      </c>
      <c r="B46" s="23" t="s">
        <v>141</v>
      </c>
      <c r="C46" s="23" t="e">
        <f ca="1">_xludf.XLOOKUP(B46,$B$14:$B$20,$D$14:$D$20,"Not found",0)</f>
        <v>#NAME?</v>
      </c>
      <c r="D46" s="23" t="e">
        <f ca="1">_xludf.XLOOKUP(B46,$B$14:$B$20,$D$14:$D$20,"Not found",0)</f>
        <v>#NAME?</v>
      </c>
      <c r="E46" s="23" t="s">
        <v>335</v>
      </c>
    </row>
    <row r="47" spans="1:8" ht="34">
      <c r="A47" s="23" t="s">
        <v>336</v>
      </c>
      <c r="B47" s="23" t="s">
        <v>147</v>
      </c>
      <c r="C47" s="23" t="e">
        <f ca="1">_xludf.XLOOKUP(B47,$B$14:$B$20,$A$14:$A$20,"Not found",0)</f>
        <v>#NAME?</v>
      </c>
      <c r="D47" s="23" t="e">
        <f ca="1">_xludf.XLOOKUP(B47,$B$14:$B$20,$A$14:$A$20,"Not found",0)</f>
        <v>#NAME?</v>
      </c>
      <c r="E47" s="23" t="s">
        <v>337</v>
      </c>
    </row>
    <row r="48" spans="1:8" ht="34">
      <c r="A48" s="23" t="s">
        <v>338</v>
      </c>
      <c r="B48" s="23" t="s">
        <v>339</v>
      </c>
      <c r="C48" s="23" t="e">
        <f ca="1">_xludf.XLOOKUP(B48,$A$14:$A$20,$E$14:$E$20,"Not found",0)</f>
        <v>#NAME?</v>
      </c>
      <c r="D48" s="23" t="e">
        <f ca="1">_xludf.XLOOKUP(B48,$A$14:$A$20,$E$14:$E$20,"Not found",0)</f>
        <v>#NAME?</v>
      </c>
      <c r="E48" s="23" t="s">
        <v>340</v>
      </c>
    </row>
    <row r="51" spans="1:8">
      <c r="A51" s="47" t="s">
        <v>341</v>
      </c>
      <c r="B51" s="28"/>
      <c r="C51" s="28"/>
      <c r="D51" s="28"/>
      <c r="E51" s="28"/>
      <c r="F51" s="28"/>
      <c r="G51" s="28"/>
      <c r="H51" s="28"/>
    </row>
    <row r="53" spans="1:8" ht="17">
      <c r="A53" s="22" t="s">
        <v>342</v>
      </c>
      <c r="B53" s="22" t="s">
        <v>343</v>
      </c>
      <c r="C53" s="22" t="s">
        <v>344</v>
      </c>
      <c r="D53" s="22" t="s">
        <v>345</v>
      </c>
    </row>
    <row r="54" spans="1:8" ht="68">
      <c r="A54" s="23" t="s">
        <v>310</v>
      </c>
      <c r="B54" s="23" t="s">
        <v>346</v>
      </c>
      <c r="C54" s="23" t="s">
        <v>347</v>
      </c>
      <c r="D54" s="23" t="s">
        <v>348</v>
      </c>
    </row>
    <row r="55" spans="1:8" ht="68">
      <c r="A55" s="23" t="s">
        <v>312</v>
      </c>
      <c r="B55" s="23" t="s">
        <v>349</v>
      </c>
      <c r="C55" s="23" t="s">
        <v>350</v>
      </c>
      <c r="D55" s="23" t="s">
        <v>351</v>
      </c>
    </row>
    <row r="56" spans="1:8" ht="34">
      <c r="A56" s="23" t="s">
        <v>314</v>
      </c>
      <c r="B56" s="23" t="s">
        <v>352</v>
      </c>
      <c r="C56" s="23" t="s">
        <v>353</v>
      </c>
      <c r="D56" s="23" t="s">
        <v>354</v>
      </c>
    </row>
    <row r="57" spans="1:8" ht="51">
      <c r="A57" s="23" t="s">
        <v>355</v>
      </c>
      <c r="B57" s="23" t="s">
        <v>356</v>
      </c>
      <c r="C57" s="23" t="s">
        <v>357</v>
      </c>
      <c r="D57" s="23" t="s">
        <v>358</v>
      </c>
    </row>
    <row r="60" spans="1:8">
      <c r="A60" s="46" t="s">
        <v>359</v>
      </c>
      <c r="B60" s="28"/>
      <c r="C60" s="28"/>
      <c r="D60" s="28"/>
      <c r="E60" s="28"/>
      <c r="F60" s="28"/>
      <c r="G60" s="28"/>
      <c r="H60" s="28"/>
    </row>
    <row r="62" spans="1:8">
      <c r="A62" s="43" t="s">
        <v>360</v>
      </c>
      <c r="B62" s="28"/>
      <c r="C62" s="28"/>
      <c r="D62" s="28"/>
      <c r="E62" s="28"/>
      <c r="F62" s="28"/>
      <c r="G62" s="28"/>
      <c r="H62" s="28"/>
    </row>
    <row r="63" spans="1:8">
      <c r="A63" s="43" t="s">
        <v>361</v>
      </c>
      <c r="B63" s="28"/>
      <c r="C63" s="28"/>
      <c r="D63" s="28"/>
      <c r="E63" s="28"/>
      <c r="F63" s="28"/>
      <c r="G63" s="28"/>
      <c r="H63" s="28"/>
    </row>
    <row r="64" spans="1:8">
      <c r="A64" s="43" t="s">
        <v>362</v>
      </c>
      <c r="B64" s="28"/>
      <c r="C64" s="28"/>
      <c r="D64" s="28"/>
      <c r="E64" s="28"/>
      <c r="F64" s="28"/>
      <c r="G64" s="28"/>
      <c r="H64" s="28"/>
    </row>
    <row r="65" spans="1:8">
      <c r="A65" s="43" t="s">
        <v>363</v>
      </c>
      <c r="B65" s="28"/>
      <c r="C65" s="28"/>
      <c r="D65" s="28"/>
      <c r="E65" s="28"/>
      <c r="F65" s="28"/>
      <c r="G65" s="28"/>
      <c r="H65" s="28"/>
    </row>
    <row r="66" spans="1:8">
      <c r="A66" s="43" t="s">
        <v>364</v>
      </c>
      <c r="B66" s="28"/>
      <c r="C66" s="28"/>
      <c r="D66" s="28"/>
      <c r="E66" s="28"/>
      <c r="F66" s="28"/>
      <c r="G66" s="28"/>
      <c r="H66" s="28"/>
    </row>
  </sheetData>
  <mergeCells count="17">
    <mergeCell ref="A66:H66"/>
    <mergeCell ref="B7:H7"/>
    <mergeCell ref="A1:H1"/>
    <mergeCell ref="A23:H23"/>
    <mergeCell ref="B5:H5"/>
    <mergeCell ref="B8:H8"/>
    <mergeCell ref="A62:H62"/>
    <mergeCell ref="A3:H3"/>
    <mergeCell ref="A30:H30"/>
    <mergeCell ref="A65:H65"/>
    <mergeCell ref="A43:H43"/>
    <mergeCell ref="A51:H51"/>
    <mergeCell ref="A63:H63"/>
    <mergeCell ref="A64:H64"/>
    <mergeCell ref="B6:H6"/>
    <mergeCell ref="A60:H60"/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selection sqref="A1:H1"/>
    </sheetView>
  </sheetViews>
  <sheetFormatPr baseColWidth="10" defaultRowHeight="16"/>
  <cols>
    <col min="1" max="1" width="30" customWidth="1"/>
    <col min="2" max="2" width="16.6640625" customWidth="1"/>
    <col min="3" max="3" width="15" customWidth="1"/>
    <col min="4" max="4" width="58.33203125" customWidth="1"/>
    <col min="5" max="5" width="13.33203125" customWidth="1"/>
    <col min="6" max="6" width="15" customWidth="1"/>
  </cols>
  <sheetData>
    <row r="1" spans="1:8" ht="35" customHeight="1">
      <c r="A1" s="35" t="s">
        <v>115</v>
      </c>
      <c r="B1" s="28"/>
      <c r="C1" s="28"/>
      <c r="D1" s="28"/>
      <c r="E1" s="28"/>
      <c r="F1" s="28"/>
      <c r="G1" s="28"/>
      <c r="H1" s="28"/>
    </row>
    <row r="3" spans="1:8">
      <c r="A3" s="6" t="s">
        <v>35</v>
      </c>
    </row>
    <row r="5" spans="1:8">
      <c r="A5" t="s">
        <v>116</v>
      </c>
    </row>
    <row r="6" spans="1:8">
      <c r="A6" t="s">
        <v>117</v>
      </c>
    </row>
    <row r="7" spans="1:8">
      <c r="A7" t="s">
        <v>118</v>
      </c>
    </row>
    <row r="9" spans="1:8">
      <c r="A9" t="s">
        <v>119</v>
      </c>
    </row>
    <row r="10" spans="1:8">
      <c r="A10" t="s">
        <v>120</v>
      </c>
    </row>
    <row r="11" spans="1:8">
      <c r="A11" t="s">
        <v>121</v>
      </c>
    </row>
    <row r="13" spans="1:8">
      <c r="A13" t="s">
        <v>122</v>
      </c>
    </row>
    <row r="14" spans="1:8">
      <c r="A14" t="s">
        <v>123</v>
      </c>
    </row>
    <row r="15" spans="1:8">
      <c r="A15" t="s">
        <v>124</v>
      </c>
    </row>
    <row r="16" spans="1:8">
      <c r="A16" t="s">
        <v>125</v>
      </c>
    </row>
    <row r="17" spans="1:6">
      <c r="A17" t="s">
        <v>126</v>
      </c>
    </row>
    <row r="19" spans="1:6">
      <c r="A19" s="38" t="s">
        <v>127</v>
      </c>
      <c r="B19" s="28"/>
      <c r="C19" s="28"/>
      <c r="D19" s="28"/>
      <c r="E19" s="28"/>
      <c r="F19" s="28"/>
    </row>
    <row r="21" spans="1:6">
      <c r="A21" s="3" t="s">
        <v>128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133</v>
      </c>
    </row>
    <row r="22" spans="1:6">
      <c r="A22" s="4" t="s">
        <v>134</v>
      </c>
      <c r="B22" s="4" t="s">
        <v>135</v>
      </c>
      <c r="C22" s="4" t="s">
        <v>136</v>
      </c>
      <c r="D22" s="5">
        <v>999</v>
      </c>
      <c r="E22" s="4">
        <v>50</v>
      </c>
      <c r="F22" s="4" t="s">
        <v>137</v>
      </c>
    </row>
    <row r="23" spans="1:6">
      <c r="A23" s="4" t="s">
        <v>138</v>
      </c>
      <c r="B23" s="4" t="s">
        <v>139</v>
      </c>
      <c r="C23" s="4" t="s">
        <v>136</v>
      </c>
      <c r="D23" s="5">
        <v>25</v>
      </c>
      <c r="E23" s="4">
        <v>200</v>
      </c>
      <c r="F23" s="4" t="s">
        <v>137</v>
      </c>
    </row>
    <row r="24" spans="1:6">
      <c r="A24" s="4" t="s">
        <v>140</v>
      </c>
      <c r="B24" s="4" t="s">
        <v>141</v>
      </c>
      <c r="C24" s="4" t="s">
        <v>136</v>
      </c>
      <c r="D24" s="5">
        <v>75</v>
      </c>
      <c r="E24" s="4">
        <v>150</v>
      </c>
      <c r="F24" s="4" t="s">
        <v>137</v>
      </c>
    </row>
    <row r="25" spans="1:6">
      <c r="A25" s="4" t="s">
        <v>142</v>
      </c>
      <c r="B25" s="4" t="s">
        <v>143</v>
      </c>
      <c r="C25" s="4" t="s">
        <v>144</v>
      </c>
      <c r="D25" s="5">
        <v>350</v>
      </c>
      <c r="E25" s="4">
        <v>30</v>
      </c>
      <c r="F25" s="4" t="s">
        <v>145</v>
      </c>
    </row>
    <row r="26" spans="1:6">
      <c r="A26" s="4" t="s">
        <v>146</v>
      </c>
      <c r="B26" s="4" t="s">
        <v>147</v>
      </c>
      <c r="C26" s="4" t="s">
        <v>144</v>
      </c>
      <c r="D26" s="5">
        <v>250</v>
      </c>
      <c r="E26" s="4">
        <v>45</v>
      </c>
      <c r="F26" s="4" t="s">
        <v>145</v>
      </c>
    </row>
    <row r="27" spans="1:6">
      <c r="A27" s="4" t="s">
        <v>148</v>
      </c>
      <c r="B27" s="4" t="s">
        <v>149</v>
      </c>
      <c r="C27" s="4" t="s">
        <v>150</v>
      </c>
      <c r="D27" s="5">
        <v>5</v>
      </c>
      <c r="E27" s="4">
        <v>500</v>
      </c>
      <c r="F27" s="4" t="s">
        <v>151</v>
      </c>
    </row>
    <row r="28" spans="1:6">
      <c r="A28" s="4" t="s">
        <v>152</v>
      </c>
      <c r="B28" s="4" t="s">
        <v>153</v>
      </c>
      <c r="C28" s="4" t="s">
        <v>150</v>
      </c>
      <c r="D28" s="5">
        <v>12</v>
      </c>
      <c r="E28" s="4">
        <v>300</v>
      </c>
      <c r="F28" s="4" t="s">
        <v>151</v>
      </c>
    </row>
    <row r="31" spans="1:6">
      <c r="A31" s="40" t="s">
        <v>154</v>
      </c>
      <c r="B31" s="28"/>
      <c r="C31" s="28"/>
      <c r="D31" s="28"/>
      <c r="E31" s="28"/>
      <c r="F31" s="28"/>
    </row>
    <row r="33" spans="1:6">
      <c r="A33" s="3" t="s">
        <v>155</v>
      </c>
      <c r="B33" s="3" t="s">
        <v>156</v>
      </c>
      <c r="C33" s="3" t="s">
        <v>157</v>
      </c>
      <c r="D33" s="3" t="s">
        <v>158</v>
      </c>
      <c r="E33" s="3" t="s">
        <v>159</v>
      </c>
    </row>
    <row r="34" spans="1:6">
      <c r="A34" s="4" t="s">
        <v>160</v>
      </c>
      <c r="B34" s="4">
        <v>3</v>
      </c>
      <c r="C34" s="4">
        <v>2</v>
      </c>
      <c r="D34" s="4" t="str">
        <f t="array" ref="D34">INDEX($A$22:$F$28,B34,C34)</f>
        <v>Keyboard</v>
      </c>
      <c r="E34" s="7" t="str">
        <f t="array" ref="E34">INDEX($A$22:$F$28,B34,C34)</f>
        <v>Keyboard</v>
      </c>
    </row>
    <row r="35" spans="1:6">
      <c r="A35" s="4" t="s">
        <v>161</v>
      </c>
      <c r="B35" s="4">
        <v>5</v>
      </c>
      <c r="C35" s="4">
        <v>4</v>
      </c>
      <c r="D35" s="4">
        <f t="array" ref="D35">INDEX($A$22:$F$28,B35,C35)</f>
        <v>250</v>
      </c>
      <c r="E35" s="7">
        <f t="array" ref="E35">INDEX($A$22:$F$28,B35,C35)</f>
        <v>250</v>
      </c>
    </row>
    <row r="38" spans="1:6">
      <c r="A38" s="37" t="s">
        <v>162</v>
      </c>
      <c r="B38" s="28"/>
      <c r="C38" s="28"/>
      <c r="D38" s="28"/>
      <c r="E38" s="28"/>
      <c r="F38" s="28"/>
    </row>
    <row r="40" spans="1:6">
      <c r="A40" s="3" t="s">
        <v>155</v>
      </c>
      <c r="B40" s="3" t="s">
        <v>163</v>
      </c>
      <c r="C40" s="3" t="s">
        <v>164</v>
      </c>
      <c r="D40" s="3" t="s">
        <v>159</v>
      </c>
    </row>
    <row r="41" spans="1:6">
      <c r="A41" s="4" t="s">
        <v>165</v>
      </c>
      <c r="B41" s="4" t="s">
        <v>142</v>
      </c>
      <c r="C41" s="4">
        <f>MATCH(B41,$A$22:$A$28,0)</f>
        <v>4</v>
      </c>
      <c r="D41" s="7">
        <f>MATCH(B41,$A$22:$A$28,0)</f>
        <v>4</v>
      </c>
    </row>
    <row r="42" spans="1:6">
      <c r="A42" s="4" t="s">
        <v>166</v>
      </c>
      <c r="B42" s="4" t="s">
        <v>141</v>
      </c>
      <c r="C42" s="4">
        <f>MATCH(B42,$B$22:$B$28,0)</f>
        <v>3</v>
      </c>
      <c r="D42" s="7">
        <f>MATCH(B42,$B$22:$B$28,0)</f>
        <v>3</v>
      </c>
    </row>
    <row r="45" spans="1:6">
      <c r="A45" s="39" t="s">
        <v>167</v>
      </c>
      <c r="B45" s="28"/>
      <c r="C45" s="28"/>
      <c r="D45" s="28"/>
      <c r="E45" s="28"/>
      <c r="F45" s="28"/>
    </row>
    <row r="47" spans="1:6">
      <c r="A47" s="3" t="s">
        <v>155</v>
      </c>
      <c r="B47" s="3" t="s">
        <v>163</v>
      </c>
      <c r="C47" s="3" t="s">
        <v>158</v>
      </c>
      <c r="D47" s="3" t="s">
        <v>159</v>
      </c>
    </row>
    <row r="48" spans="1:6">
      <c r="A48" s="4" t="s">
        <v>168</v>
      </c>
      <c r="B48" s="4" t="s">
        <v>140</v>
      </c>
      <c r="C48" s="5">
        <f>INDEX($D$22:$D$28,MATCH(B48,$A$22:$A$28,0))</f>
        <v>75</v>
      </c>
      <c r="D48" s="7">
        <f>INDEX($D$22:$D$28,MATCH(B48,$A$22:$A$28,0))</f>
        <v>75</v>
      </c>
    </row>
    <row r="49" spans="1:6">
      <c r="A49" s="4" t="s">
        <v>169</v>
      </c>
      <c r="B49" s="4" t="s">
        <v>147</v>
      </c>
      <c r="C49" s="4" t="str">
        <f>INDEX($F$22:$F$28,MATCH(B49,$B$22:$B$28,0))</f>
        <v>OfficePro</v>
      </c>
      <c r="D49" s="7" t="str">
        <f>INDEX($F$22:$F$28,MATCH(B49,$B$22:$B$28,0))</f>
        <v>OfficePro</v>
      </c>
    </row>
    <row r="50" spans="1:6">
      <c r="A50" s="4" t="s">
        <v>170</v>
      </c>
      <c r="B50" s="4" t="s">
        <v>149</v>
      </c>
      <c r="C50" s="4">
        <f>INDEX($E$22:$E$28,MATCH(B50,$B$22:$B$28,0))</f>
        <v>500</v>
      </c>
      <c r="D50" s="7">
        <f>INDEX($E$22:$E$28,MATCH(B50,$B$22:$B$28,0))</f>
        <v>500</v>
      </c>
    </row>
    <row r="53" spans="1:6">
      <c r="A53" s="40" t="s">
        <v>171</v>
      </c>
      <c r="B53" s="28"/>
      <c r="C53" s="28"/>
      <c r="D53" s="28"/>
      <c r="E53" s="28"/>
      <c r="F53" s="28"/>
    </row>
    <row r="54" spans="1:6">
      <c r="A54" s="1" t="s">
        <v>172</v>
      </c>
    </row>
    <row r="56" spans="1:6">
      <c r="A56" s="3"/>
      <c r="B56" s="3" t="s">
        <v>173</v>
      </c>
      <c r="C56" s="3" t="s">
        <v>174</v>
      </c>
      <c r="D56" s="3" t="s">
        <v>175</v>
      </c>
      <c r="E56" s="3" t="s">
        <v>176</v>
      </c>
    </row>
    <row r="57" spans="1:6">
      <c r="A57" s="9" t="s">
        <v>177</v>
      </c>
      <c r="B57" s="5">
        <v>45000</v>
      </c>
      <c r="C57" s="5">
        <v>52000</v>
      </c>
      <c r="D57" s="5">
        <v>48000</v>
      </c>
      <c r="E57" s="5">
        <v>61000</v>
      </c>
    </row>
    <row r="58" spans="1:6">
      <c r="A58" s="9" t="s">
        <v>178</v>
      </c>
      <c r="B58" s="5">
        <v>38000</v>
      </c>
      <c r="C58" s="5">
        <v>41000</v>
      </c>
      <c r="D58" s="5">
        <v>45000</v>
      </c>
      <c r="E58" s="5">
        <v>50000</v>
      </c>
    </row>
    <row r="59" spans="1:6">
      <c r="A59" s="9" t="s">
        <v>179</v>
      </c>
      <c r="B59" s="5">
        <v>55000</v>
      </c>
      <c r="C59" s="5">
        <v>58000</v>
      </c>
      <c r="D59" s="5">
        <v>62000</v>
      </c>
      <c r="E59" s="5">
        <v>70000</v>
      </c>
    </row>
    <row r="60" spans="1:6">
      <c r="A60" s="9" t="s">
        <v>180</v>
      </c>
      <c r="B60" s="5">
        <v>42000</v>
      </c>
      <c r="C60" s="5">
        <v>47000</v>
      </c>
      <c r="D60" s="5">
        <v>51000</v>
      </c>
      <c r="E60" s="5">
        <v>55000</v>
      </c>
    </row>
    <row r="62" spans="1:6">
      <c r="A62" s="3" t="s">
        <v>181</v>
      </c>
      <c r="B62" s="3" t="s">
        <v>182</v>
      </c>
      <c r="C62" s="3" t="s">
        <v>183</v>
      </c>
      <c r="D62" s="3" t="s">
        <v>159</v>
      </c>
    </row>
    <row r="63" spans="1:6">
      <c r="A63" s="4" t="s">
        <v>179</v>
      </c>
      <c r="B63" s="4" t="s">
        <v>175</v>
      </c>
      <c r="C63" s="5">
        <f>INDEX($B$57:$E$60,MATCH(A63,$A$57:$A$60,0),MATCH(B63,$B$56:$E$56,0))</f>
        <v>62000</v>
      </c>
      <c r="D63" s="8">
        <f>INDEX($B$57:$E$60,MATCH(A63,$A$57:$A$60,0),MATCH(B63,$B$56:$E$56,0))</f>
        <v>62000</v>
      </c>
    </row>
  </sheetData>
  <mergeCells count="6">
    <mergeCell ref="A53:F53"/>
    <mergeCell ref="A38:F38"/>
    <mergeCell ref="A19:F19"/>
    <mergeCell ref="A45:F45"/>
    <mergeCell ref="A31:F31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selection sqref="A1:H1"/>
    </sheetView>
  </sheetViews>
  <sheetFormatPr baseColWidth="10" defaultRowHeight="16"/>
  <cols>
    <col min="1" max="1" width="25" customWidth="1"/>
    <col min="2" max="2" width="23.33203125" customWidth="1"/>
    <col min="3" max="3" width="16.6640625" customWidth="1"/>
    <col min="4" max="4" width="41.6640625" customWidth="1"/>
  </cols>
  <sheetData>
    <row r="1" spans="1:8" ht="35" customHeight="1">
      <c r="A1" s="35" t="s">
        <v>184</v>
      </c>
      <c r="B1" s="28"/>
      <c r="C1" s="28"/>
      <c r="D1" s="28"/>
      <c r="E1" s="28"/>
      <c r="F1" s="28"/>
      <c r="G1" s="28"/>
      <c r="H1" s="28"/>
    </row>
    <row r="3" spans="1:8">
      <c r="A3" s="6" t="s">
        <v>35</v>
      </c>
    </row>
    <row r="5" spans="1:8">
      <c r="A5" t="s">
        <v>185</v>
      </c>
    </row>
    <row r="6" spans="1:8">
      <c r="A6" t="s">
        <v>186</v>
      </c>
    </row>
    <row r="7" spans="1:8">
      <c r="A7" t="s">
        <v>187</v>
      </c>
    </row>
    <row r="8" spans="1:8">
      <c r="A8" t="s">
        <v>188</v>
      </c>
    </row>
    <row r="10" spans="1:8">
      <c r="A10" t="s">
        <v>189</v>
      </c>
    </row>
    <row r="11" spans="1:8">
      <c r="A11" t="s">
        <v>190</v>
      </c>
    </row>
    <row r="12" spans="1:8">
      <c r="A12" t="s">
        <v>191</v>
      </c>
    </row>
    <row r="13" spans="1:8">
      <c r="A13" t="s">
        <v>192</v>
      </c>
    </row>
    <row r="15" spans="1:8">
      <c r="A15" s="38" t="s">
        <v>127</v>
      </c>
      <c r="B15" s="28"/>
      <c r="C15" s="28"/>
      <c r="D15" s="28"/>
      <c r="E15" s="28"/>
    </row>
    <row r="17" spans="1:6">
      <c r="A17" s="3" t="s">
        <v>193</v>
      </c>
      <c r="B17" s="3" t="s">
        <v>183</v>
      </c>
      <c r="C17" s="3" t="s">
        <v>194</v>
      </c>
      <c r="D17" s="3" t="s">
        <v>195</v>
      </c>
    </row>
    <row r="18" spans="1:6">
      <c r="A18" s="4" t="s">
        <v>196</v>
      </c>
      <c r="B18" s="5">
        <v>15000</v>
      </c>
      <c r="C18" s="5">
        <v>8000</v>
      </c>
      <c r="D18" s="5">
        <v>7000</v>
      </c>
    </row>
    <row r="19" spans="1:6">
      <c r="A19" s="4" t="s">
        <v>197</v>
      </c>
      <c r="B19" s="5">
        <v>18000</v>
      </c>
      <c r="C19" s="5">
        <v>9500</v>
      </c>
      <c r="D19" s="5">
        <v>8500</v>
      </c>
    </row>
    <row r="20" spans="1:6">
      <c r="A20" s="4" t="s">
        <v>198</v>
      </c>
      <c r="B20" s="5">
        <v>22000</v>
      </c>
      <c r="C20" s="5">
        <v>11000</v>
      </c>
      <c r="D20" s="5">
        <v>11000</v>
      </c>
    </row>
    <row r="21" spans="1:6">
      <c r="A21" s="4" t="s">
        <v>199</v>
      </c>
      <c r="B21" s="5">
        <v>19000</v>
      </c>
      <c r="C21" s="5">
        <v>9000</v>
      </c>
      <c r="D21" s="5">
        <v>10000</v>
      </c>
    </row>
    <row r="22" spans="1:6">
      <c r="A22" s="4" t="s">
        <v>200</v>
      </c>
      <c r="B22" s="5">
        <v>25000</v>
      </c>
      <c r="C22" s="5">
        <v>12000</v>
      </c>
      <c r="D22" s="5">
        <v>13000</v>
      </c>
    </row>
    <row r="25" spans="1:6">
      <c r="A25" s="40" t="s">
        <v>201</v>
      </c>
      <c r="B25" s="28"/>
      <c r="C25" s="28"/>
      <c r="D25" s="28"/>
      <c r="E25" s="28"/>
      <c r="F25" s="28"/>
    </row>
    <row r="27" spans="1:6">
      <c r="A27" s="3" t="s">
        <v>202</v>
      </c>
      <c r="B27" s="3" t="s">
        <v>158</v>
      </c>
      <c r="C27" s="3" t="s">
        <v>159</v>
      </c>
      <c r="D27" s="3" t="s">
        <v>203</v>
      </c>
    </row>
    <row r="28" spans="1:6">
      <c r="A28" s="4" t="s">
        <v>204</v>
      </c>
      <c r="B28" s="5">
        <f t="array" aca="1" ref="B28" ca="1">INDIRECT(A28)</f>
        <v>15000</v>
      </c>
      <c r="C28" s="7">
        <f t="array" aca="1" ref="C28" ca="1">INDIRECT(A28)</f>
        <v>15000</v>
      </c>
      <c r="D28" s="4" t="s">
        <v>205</v>
      </c>
    </row>
    <row r="29" spans="1:6">
      <c r="A29" s="4" t="s">
        <v>206</v>
      </c>
      <c r="B29" s="5">
        <f t="array" aca="1" ref="B29" ca="1">INDIRECT(A29)</f>
        <v>11000</v>
      </c>
      <c r="C29" s="7">
        <f t="array" aca="1" ref="C29" ca="1">INDIRECT(A29)</f>
        <v>11000</v>
      </c>
      <c r="D29" s="4" t="s">
        <v>207</v>
      </c>
    </row>
    <row r="32" spans="1:6">
      <c r="A32" s="37" t="s">
        <v>208</v>
      </c>
      <c r="B32" s="28"/>
      <c r="C32" s="28"/>
      <c r="D32" s="28"/>
      <c r="E32" s="28"/>
      <c r="F32" s="28"/>
    </row>
    <row r="33" spans="1:6">
      <c r="A33" s="1" t="s">
        <v>209</v>
      </c>
    </row>
    <row r="35" spans="1:6">
      <c r="A35" s="3" t="s">
        <v>210</v>
      </c>
      <c r="B35" s="3" t="s">
        <v>211</v>
      </c>
      <c r="C35" s="3" t="s">
        <v>159</v>
      </c>
    </row>
    <row r="36" spans="1:6">
      <c r="A36" s="4" t="s">
        <v>83</v>
      </c>
      <c r="B36" s="5">
        <f ca="1">SUM(INDIRECT(A36&amp;"18:"&amp;A36&amp;"22"))</f>
        <v>99000</v>
      </c>
      <c r="C36" s="7">
        <f ca="1">SUM(INDIRECT(A36&amp;"18:"&amp;A36&amp;"22"))</f>
        <v>99000</v>
      </c>
    </row>
    <row r="37" spans="1:6">
      <c r="A37" s="4" t="s">
        <v>85</v>
      </c>
      <c r="B37" s="5">
        <f ca="1">SUM(INDIRECT(A37&amp;"18:"&amp;A37&amp;"22"))</f>
        <v>49500</v>
      </c>
      <c r="C37" s="7">
        <f ca="1">SUM(INDIRECT(A37&amp;"18:"&amp;A37&amp;"22"))</f>
        <v>49500</v>
      </c>
    </row>
    <row r="38" spans="1:6">
      <c r="A38" s="4" t="s">
        <v>87</v>
      </c>
      <c r="B38" s="5">
        <f ca="1">SUM(INDIRECT(A38&amp;"18:"&amp;A38&amp;"22"))</f>
        <v>49500</v>
      </c>
      <c r="C38" s="7">
        <f ca="1">SUM(INDIRECT(A38&amp;"18:"&amp;A38&amp;"22"))</f>
        <v>49500</v>
      </c>
    </row>
    <row r="41" spans="1:6">
      <c r="A41" s="39" t="s">
        <v>212</v>
      </c>
      <c r="B41" s="28"/>
      <c r="C41" s="28"/>
      <c r="D41" s="28"/>
      <c r="E41" s="28"/>
      <c r="F41" s="28"/>
    </row>
    <row r="42" spans="1:6">
      <c r="A42" s="1" t="s">
        <v>213</v>
      </c>
    </row>
    <row r="44" spans="1:6">
      <c r="A44" s="3" t="s">
        <v>214</v>
      </c>
      <c r="B44" s="3" t="s">
        <v>215</v>
      </c>
      <c r="C44" s="3" t="s">
        <v>158</v>
      </c>
      <c r="D44" s="3" t="s">
        <v>159</v>
      </c>
    </row>
    <row r="45" spans="1:6">
      <c r="A45" s="4" t="s">
        <v>196</v>
      </c>
      <c r="B45" s="4" t="s">
        <v>216</v>
      </c>
      <c r="C45" s="5" t="e">
        <f t="array" aca="1" ref="C45" ca="1">INDIRECT(B45)</f>
        <v>#REF!</v>
      </c>
      <c r="D45" s="7" t="e">
        <f t="array" aca="1" ref="D45" ca="1">INDIRECT(B45)</f>
        <v>#REF!</v>
      </c>
    </row>
    <row r="46" spans="1:6">
      <c r="A46" s="4" t="s">
        <v>197</v>
      </c>
      <c r="B46" s="4" t="s">
        <v>217</v>
      </c>
      <c r="C46" s="5" t="e">
        <f t="array" aca="1" ref="C46" ca="1">INDIRECT(B46)</f>
        <v>#REF!</v>
      </c>
      <c r="D46" s="7" t="e">
        <f t="array" aca="1" ref="D46" ca="1">INDIRECT(B46)</f>
        <v>#REF!</v>
      </c>
    </row>
    <row r="47" spans="1:6">
      <c r="A47" s="4" t="s">
        <v>198</v>
      </c>
      <c r="B47" s="4" t="s">
        <v>218</v>
      </c>
      <c r="C47" s="5" t="e">
        <f t="array" aca="1" ref="C47" ca="1">INDIRECT(B47)</f>
        <v>#REF!</v>
      </c>
      <c r="D47" s="7" t="e">
        <f t="array" aca="1" ref="D47" ca="1">INDIRECT(B47)</f>
        <v>#REF!</v>
      </c>
    </row>
  </sheetData>
  <mergeCells count="5">
    <mergeCell ref="A41:F41"/>
    <mergeCell ref="A15:E15"/>
    <mergeCell ref="A32:F32"/>
    <mergeCell ref="A1:H1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selection sqref="A1:H1"/>
    </sheetView>
  </sheetViews>
  <sheetFormatPr baseColWidth="10" defaultRowHeight="16"/>
  <cols>
    <col min="1" max="1" width="21.6640625" customWidth="1"/>
    <col min="2" max="2" width="16.6640625" customWidth="1"/>
    <col min="3" max="3" width="41.6640625" customWidth="1"/>
    <col min="4" max="4" width="33.33203125" customWidth="1"/>
    <col min="5" max="5" width="50" customWidth="1"/>
  </cols>
  <sheetData>
    <row r="1" spans="1:8" ht="35" customHeight="1">
      <c r="A1" s="35" t="s">
        <v>219</v>
      </c>
      <c r="B1" s="28"/>
      <c r="C1" s="28"/>
      <c r="D1" s="28"/>
      <c r="E1" s="28"/>
      <c r="F1" s="28"/>
      <c r="G1" s="28"/>
      <c r="H1" s="28"/>
    </row>
    <row r="3" spans="1:8">
      <c r="A3" s="6" t="s">
        <v>35</v>
      </c>
    </row>
    <row r="5" spans="1:8">
      <c r="A5" t="s">
        <v>220</v>
      </c>
    </row>
    <row r="6" spans="1:8">
      <c r="A6" t="s">
        <v>221</v>
      </c>
    </row>
    <row r="8" spans="1:8">
      <c r="A8" t="s">
        <v>222</v>
      </c>
    </row>
    <row r="9" spans="1:8">
      <c r="A9" t="s">
        <v>223</v>
      </c>
    </row>
    <row r="10" spans="1:8">
      <c r="A10" t="s">
        <v>224</v>
      </c>
    </row>
    <row r="11" spans="1:8">
      <c r="A11" t="s">
        <v>225</v>
      </c>
    </row>
    <row r="13" spans="1:8">
      <c r="A13" s="10" t="s">
        <v>226</v>
      </c>
    </row>
    <row r="14" spans="1:8">
      <c r="A14" s="10" t="s">
        <v>227</v>
      </c>
    </row>
    <row r="15" spans="1:8">
      <c r="A15" s="10" t="s">
        <v>228</v>
      </c>
    </row>
    <row r="16" spans="1:8">
      <c r="A16" s="10" t="s">
        <v>229</v>
      </c>
    </row>
    <row r="17" spans="1:8">
      <c r="A17" s="10" t="s">
        <v>230</v>
      </c>
    </row>
    <row r="18" spans="1:8">
      <c r="A18" s="10" t="s">
        <v>231</v>
      </c>
    </row>
    <row r="20" spans="1:8">
      <c r="A20" s="41" t="s">
        <v>232</v>
      </c>
      <c r="B20" s="28"/>
      <c r="C20" s="28"/>
      <c r="D20" s="28"/>
      <c r="E20" s="28"/>
      <c r="F20" s="28"/>
    </row>
    <row r="22" spans="1:8">
      <c r="A22" s="3" t="s">
        <v>233</v>
      </c>
      <c r="B22" s="3" t="s">
        <v>234</v>
      </c>
      <c r="C22" s="3" t="s">
        <v>183</v>
      </c>
      <c r="D22" s="3" t="s">
        <v>235</v>
      </c>
      <c r="E22" s="3" t="s">
        <v>236</v>
      </c>
    </row>
    <row r="23" spans="1:8">
      <c r="A23" s="4" t="s">
        <v>237</v>
      </c>
      <c r="B23" s="5">
        <v>50000</v>
      </c>
      <c r="C23" s="5">
        <v>120000</v>
      </c>
      <c r="D23" s="5">
        <v>100000</v>
      </c>
      <c r="E23" s="11">
        <v>0.05</v>
      </c>
    </row>
    <row r="24" spans="1:8">
      <c r="A24" s="4" t="s">
        <v>238</v>
      </c>
      <c r="B24" s="5">
        <v>45000</v>
      </c>
      <c r="C24" s="5">
        <v>85000</v>
      </c>
      <c r="D24" s="5">
        <v>100000</v>
      </c>
      <c r="E24" s="11">
        <v>0.05</v>
      </c>
    </row>
    <row r="25" spans="1:8">
      <c r="A25" s="4" t="s">
        <v>239</v>
      </c>
      <c r="B25" s="5">
        <v>55000</v>
      </c>
      <c r="C25" s="5">
        <v>150000</v>
      </c>
      <c r="D25" s="5">
        <v>100000</v>
      </c>
      <c r="E25" s="11">
        <v>0.05</v>
      </c>
    </row>
    <row r="26" spans="1:8">
      <c r="A26" s="4" t="s">
        <v>240</v>
      </c>
      <c r="B26" s="5">
        <v>48000</v>
      </c>
      <c r="C26" s="5">
        <v>95000</v>
      </c>
      <c r="D26" s="5">
        <v>100000</v>
      </c>
      <c r="E26" s="11">
        <v>0.05</v>
      </c>
    </row>
    <row r="27" spans="1:8">
      <c r="A27" s="4" t="s">
        <v>241</v>
      </c>
      <c r="B27" s="5">
        <v>52000</v>
      </c>
      <c r="C27" s="5">
        <v>180000</v>
      </c>
      <c r="D27" s="5">
        <v>100000</v>
      </c>
      <c r="E27" s="11">
        <v>0.05</v>
      </c>
    </row>
    <row r="30" spans="1:8">
      <c r="A30" s="40" t="s">
        <v>242</v>
      </c>
      <c r="B30" s="28"/>
      <c r="C30" s="28"/>
      <c r="D30" s="28"/>
      <c r="E30" s="28"/>
      <c r="F30" s="28"/>
      <c r="G30" s="28"/>
      <c r="H30" s="28"/>
    </row>
    <row r="31" spans="1:8">
      <c r="A31" s="36" t="s">
        <v>243</v>
      </c>
      <c r="B31" s="28"/>
      <c r="C31" s="28"/>
      <c r="D31" s="28"/>
      <c r="E31" s="28"/>
      <c r="F31" s="28"/>
      <c r="G31" s="28"/>
      <c r="H31" s="28"/>
    </row>
    <row r="33" spans="1:8">
      <c r="A33" s="3" t="s">
        <v>233</v>
      </c>
      <c r="B33" s="3" t="s">
        <v>244</v>
      </c>
      <c r="C33" s="3" t="s">
        <v>245</v>
      </c>
      <c r="D33" s="3" t="s">
        <v>246</v>
      </c>
      <c r="E33" s="3" t="s">
        <v>247</v>
      </c>
    </row>
    <row r="34" spans="1:8">
      <c r="A34" s="4" t="s">
        <v>237</v>
      </c>
      <c r="B34" s="5">
        <f>IF(C23&gt;D23,(C23-D23)*E23,0)</f>
        <v>1000</v>
      </c>
      <c r="C34" s="5">
        <f>_xlfn.LET(_xlpm.sales,C23,_xlpm.target,D23,_xlpm.rate,E23,_xlpm.excess,_xlpm.sales-_xlpm.target,IF(_xlpm.excess&gt;0,_xlpm.excess*_xlpm.rate,0))</f>
        <v>1000</v>
      </c>
      <c r="D34" s="12">
        <f>IF(C23&gt;D23,(C23-D23)*E23,0)</f>
        <v>1000</v>
      </c>
      <c r="E34" s="13">
        <f>_xlfn.LET(_xlpm.sales,C23,_xlpm.target,D23,_xlpm.rate,E23,_xlpm.excess,_xlpm.sales-_xlpm.target,IF(_xlpm.excess&gt;0,_xlpm.excess*_xlpm.rate,0))</f>
        <v>1000</v>
      </c>
    </row>
    <row r="35" spans="1:8">
      <c r="A35" s="4" t="s">
        <v>238</v>
      </c>
      <c r="B35" s="5">
        <f>IF(C24&gt;D24,(C24-D24)*E24,0)</f>
        <v>0</v>
      </c>
      <c r="C35" s="5">
        <f>_xlfn.LET(_xlpm.sales,C24,_xlpm.target,D24,_xlpm.rate,E24,_xlpm.excess,_xlpm.sales-_xlpm.target,IF(_xlpm.excess&gt;0,_xlpm.excess*_xlpm.rate,0))</f>
        <v>0</v>
      </c>
      <c r="D35" s="12" t="s">
        <v>248</v>
      </c>
      <c r="E35" s="13" t="s">
        <v>248</v>
      </c>
    </row>
    <row r="36" spans="1:8">
      <c r="A36" s="4" t="s">
        <v>239</v>
      </c>
      <c r="B36" s="5">
        <f>IF(C25&gt;D25,(C25-D25)*E25,0)</f>
        <v>2500</v>
      </c>
      <c r="C36" s="5">
        <f>_xlfn.LET(_xlpm.sales,C25,_xlpm.target,D25,_xlpm.rate,E25,_xlpm.excess,_xlpm.sales-_xlpm.target,IF(_xlpm.excess&gt;0,_xlpm.excess*_xlpm.rate,0))</f>
        <v>2500</v>
      </c>
      <c r="D36" s="12" t="s">
        <v>248</v>
      </c>
      <c r="E36" s="13" t="s">
        <v>248</v>
      </c>
    </row>
    <row r="39" spans="1:8">
      <c r="A39" s="37" t="s">
        <v>249</v>
      </c>
      <c r="B39" s="28"/>
      <c r="C39" s="28"/>
      <c r="D39" s="28"/>
      <c r="E39" s="28"/>
      <c r="F39" s="28"/>
      <c r="G39" s="28"/>
      <c r="H39" s="28"/>
    </row>
    <row r="40" spans="1:8">
      <c r="A40" s="36" t="s">
        <v>250</v>
      </c>
      <c r="B40" s="28"/>
      <c r="C40" s="28"/>
      <c r="D40" s="28"/>
      <c r="E40" s="28"/>
      <c r="F40" s="28"/>
      <c r="G40" s="28"/>
      <c r="H40" s="28"/>
    </row>
    <row r="42" spans="1:8">
      <c r="A42" s="3" t="s">
        <v>251</v>
      </c>
      <c r="B42" s="3" t="s">
        <v>252</v>
      </c>
      <c r="C42" s="3" t="s">
        <v>159</v>
      </c>
    </row>
    <row r="43" spans="1:8">
      <c r="A43" s="4" t="s">
        <v>239</v>
      </c>
      <c r="B43" s="5">
        <f>_xlfn.LET(_xlpm.pos,MATCH(A43,$A$23:$A$27,0),_xlpm.base,INDEX($B$23:$B$27,_xlpm.pos),_xlpm.sales,INDEX($C$23:$C$27,_xlpm.pos),_xlpm.target,INDEX($D$23:$D$27,_xlpm.pos),_xlpm.rate,INDEX($E$23:$E$27,_xlpm.pos),_xlpm.bonus,IF(_xlpm.sales&gt;_xlpm.target,(_xlpm.sales-_xlpm.target)*_xlpm.rate,0),_xlpm.base+_xlpm.bonus)</f>
        <v>57500</v>
      </c>
      <c r="C43" s="7" t="s">
        <v>253</v>
      </c>
    </row>
    <row r="44" spans="1:8">
      <c r="A44" s="4" t="s">
        <v>241</v>
      </c>
      <c r="B44" s="5">
        <f>_xlfn.LET(_xlpm.pos,MATCH(A44,$A$23:$A$27,0),_xlpm.base,INDEX($B$23:$B$27,_xlpm.pos),_xlpm.sales,INDEX($C$23:$C$27,_xlpm.pos),_xlpm.target,INDEX($D$23:$D$27,_xlpm.pos),_xlpm.rate,INDEX($E$23:$E$27,_xlpm.pos),_xlpm.bonus,IF(_xlpm.sales&gt;_xlpm.target,(_xlpm.sales-_xlpm.target)*_xlpm.rate,0),_xlpm.base+_xlpm.bonus)</f>
        <v>56000</v>
      </c>
      <c r="C44" s="7" t="s">
        <v>254</v>
      </c>
    </row>
    <row r="47" spans="1:8">
      <c r="A47" s="38" t="s">
        <v>255</v>
      </c>
      <c r="B47" s="28"/>
      <c r="C47" s="28"/>
      <c r="D47" s="28"/>
      <c r="E47" s="28"/>
    </row>
    <row r="49" spans="1:3">
      <c r="A49" s="3" t="s">
        <v>256</v>
      </c>
      <c r="B49" s="3" t="s">
        <v>19</v>
      </c>
      <c r="C49" s="3" t="s">
        <v>257</v>
      </c>
    </row>
    <row r="50" spans="1:3">
      <c r="A50" s="4" t="s">
        <v>101</v>
      </c>
      <c r="B50" s="4" t="s">
        <v>258</v>
      </c>
      <c r="C50" s="4" t="s">
        <v>259</v>
      </c>
    </row>
    <row r="51" spans="1:3">
      <c r="A51" s="4" t="s">
        <v>113</v>
      </c>
      <c r="B51" s="4" t="s">
        <v>260</v>
      </c>
      <c r="C51" s="4" t="s">
        <v>261</v>
      </c>
    </row>
    <row r="52" spans="1:3">
      <c r="A52" s="4" t="s">
        <v>262</v>
      </c>
      <c r="B52" s="4" t="s">
        <v>263</v>
      </c>
      <c r="C52" s="4" t="s">
        <v>264</v>
      </c>
    </row>
    <row r="53" spans="1:3">
      <c r="A53" s="4" t="s">
        <v>104</v>
      </c>
      <c r="B53" s="4" t="s">
        <v>265</v>
      </c>
      <c r="C53" s="4" t="s">
        <v>266</v>
      </c>
    </row>
  </sheetData>
  <mergeCells count="7">
    <mergeCell ref="A30:H30"/>
    <mergeCell ref="A39:H39"/>
    <mergeCell ref="A47:E47"/>
    <mergeCell ref="A1:H1"/>
    <mergeCell ref="A20:F20"/>
    <mergeCell ref="A31:H31"/>
    <mergeCell ref="A40:H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9"/>
  <sheetViews>
    <sheetView tabSelected="1" topLeftCell="A13" workbookViewId="0">
      <selection activeCell="I33" sqref="I33"/>
    </sheetView>
  </sheetViews>
  <sheetFormatPr baseColWidth="10" defaultRowHeight="16"/>
  <cols>
    <col min="1" max="1" width="14.1640625" customWidth="1"/>
    <col min="2" max="2" width="18.33203125" customWidth="1"/>
    <col min="3" max="4" width="10" customWidth="1"/>
    <col min="5" max="5" width="11.6640625" customWidth="1"/>
    <col min="6" max="6" width="15" customWidth="1"/>
    <col min="7" max="7" width="15.83203125" customWidth="1"/>
    <col min="8" max="8" width="10.83203125" customWidth="1"/>
    <col min="9" max="9" width="12.5" customWidth="1"/>
  </cols>
  <sheetData>
    <row r="1" spans="1:9" ht="19" customHeight="1">
      <c r="A1" s="42" t="s">
        <v>267</v>
      </c>
      <c r="B1" s="28"/>
      <c r="C1" s="28"/>
      <c r="D1" s="28"/>
      <c r="E1" s="28"/>
      <c r="F1" s="28"/>
      <c r="G1" s="28"/>
    </row>
    <row r="3" spans="1:9">
      <c r="A3" s="53" t="s">
        <v>268</v>
      </c>
      <c r="B3" s="53" t="s">
        <v>45</v>
      </c>
      <c r="C3" s="53" t="s">
        <v>46</v>
      </c>
      <c r="D3" s="53" t="s">
        <v>47</v>
      </c>
      <c r="E3" s="53" t="s">
        <v>57</v>
      </c>
      <c r="F3" s="53" t="s">
        <v>48</v>
      </c>
      <c r="G3" s="53" t="s">
        <v>269</v>
      </c>
    </row>
    <row r="4" spans="1:9">
      <c r="A4" s="19" t="s">
        <v>270</v>
      </c>
      <c r="B4" s="19" t="s">
        <v>51</v>
      </c>
      <c r="C4" s="49">
        <v>92</v>
      </c>
      <c r="D4" s="49">
        <v>88</v>
      </c>
      <c r="E4" s="49">
        <v>95</v>
      </c>
      <c r="F4" s="49">
        <v>98</v>
      </c>
      <c r="G4" s="49" t="s">
        <v>64</v>
      </c>
    </row>
    <row r="5" spans="1:9">
      <c r="A5" s="19" t="s">
        <v>271</v>
      </c>
      <c r="B5" s="19" t="s">
        <v>52</v>
      </c>
      <c r="C5" s="49">
        <v>78</v>
      </c>
      <c r="D5" s="49">
        <v>82</v>
      </c>
      <c r="E5" s="49">
        <v>75</v>
      </c>
      <c r="F5" s="49">
        <v>85</v>
      </c>
      <c r="G5" s="49" t="s">
        <v>66</v>
      </c>
    </row>
    <row r="6" spans="1:9">
      <c r="A6" s="19" t="s">
        <v>272</v>
      </c>
      <c r="B6" s="19" t="s">
        <v>59</v>
      </c>
      <c r="C6" s="49">
        <v>65</v>
      </c>
      <c r="D6" s="49">
        <v>70</v>
      </c>
      <c r="E6" s="49">
        <v>68</v>
      </c>
      <c r="F6" s="49">
        <v>72</v>
      </c>
      <c r="G6" s="49" t="s">
        <v>64</v>
      </c>
    </row>
    <row r="7" spans="1:9">
      <c r="A7" s="19" t="s">
        <v>273</v>
      </c>
      <c r="B7" s="19" t="s">
        <v>53</v>
      </c>
      <c r="C7" s="49">
        <v>88</v>
      </c>
      <c r="D7" s="49">
        <v>91</v>
      </c>
      <c r="E7" s="49">
        <v>85</v>
      </c>
      <c r="F7" s="49">
        <v>95</v>
      </c>
      <c r="G7" s="49" t="s">
        <v>64</v>
      </c>
    </row>
    <row r="8" spans="1:9">
      <c r="A8" s="19" t="s">
        <v>274</v>
      </c>
      <c r="B8" s="19" t="s">
        <v>94</v>
      </c>
      <c r="C8" s="49">
        <v>45</v>
      </c>
      <c r="D8" s="49">
        <v>52</v>
      </c>
      <c r="E8" s="49">
        <v>48</v>
      </c>
      <c r="F8" s="49">
        <v>60</v>
      </c>
      <c r="G8" s="49" t="s">
        <v>66</v>
      </c>
    </row>
    <row r="9" spans="1:9">
      <c r="A9" s="19" t="s">
        <v>275</v>
      </c>
      <c r="B9" s="19" t="s">
        <v>65</v>
      </c>
      <c r="C9" s="49">
        <v>72</v>
      </c>
      <c r="D9" s="49">
        <v>68</v>
      </c>
      <c r="E9" s="49">
        <v>74</v>
      </c>
      <c r="F9" s="49">
        <v>80</v>
      </c>
      <c r="G9" s="49" t="s">
        <v>66</v>
      </c>
    </row>
    <row r="10" spans="1:9">
      <c r="A10" s="19" t="s">
        <v>276</v>
      </c>
      <c r="B10" s="19" t="s">
        <v>54</v>
      </c>
      <c r="C10" s="49">
        <v>95</v>
      </c>
      <c r="D10" s="49">
        <v>98</v>
      </c>
      <c r="E10" s="49">
        <v>92</v>
      </c>
      <c r="F10" s="49">
        <v>100</v>
      </c>
      <c r="G10" s="49" t="s">
        <v>64</v>
      </c>
    </row>
    <row r="11" spans="1:9">
      <c r="A11" s="19" t="s">
        <v>277</v>
      </c>
      <c r="B11" s="19" t="s">
        <v>67</v>
      </c>
      <c r="C11" s="49">
        <v>58</v>
      </c>
      <c r="D11" s="49">
        <v>55</v>
      </c>
      <c r="E11" s="49">
        <v>62</v>
      </c>
      <c r="F11" s="49">
        <v>70</v>
      </c>
      <c r="G11" s="49" t="s">
        <v>64</v>
      </c>
    </row>
    <row r="12" spans="1:9">
      <c r="A12" s="19" t="s">
        <v>278</v>
      </c>
      <c r="B12" s="19" t="s">
        <v>279</v>
      </c>
      <c r="C12" s="49">
        <v>83</v>
      </c>
      <c r="D12" s="49">
        <v>79</v>
      </c>
      <c r="E12" s="49">
        <v>86</v>
      </c>
      <c r="F12" s="49">
        <v>90</v>
      </c>
      <c r="G12" s="49" t="s">
        <v>64</v>
      </c>
    </row>
    <row r="13" spans="1:9">
      <c r="A13" s="19" t="s">
        <v>280</v>
      </c>
      <c r="B13" s="19" t="s">
        <v>281</v>
      </c>
      <c r="C13" s="49">
        <v>70</v>
      </c>
      <c r="D13" s="49">
        <v>75</v>
      </c>
      <c r="E13" s="49">
        <v>72</v>
      </c>
      <c r="F13" s="49">
        <v>82</v>
      </c>
      <c r="G13" s="49" t="s">
        <v>66</v>
      </c>
    </row>
    <row r="16" spans="1:9">
      <c r="A16" s="44" t="s">
        <v>282</v>
      </c>
      <c r="B16" s="28"/>
      <c r="C16" s="28"/>
      <c r="E16" s="58" t="s">
        <v>283</v>
      </c>
      <c r="F16" s="58"/>
      <c r="G16" s="58"/>
      <c r="H16" s="58"/>
      <c r="I16" s="58"/>
    </row>
    <row r="18" spans="1:9" ht="17">
      <c r="A18" s="54" t="s">
        <v>284</v>
      </c>
      <c r="B18" s="54" t="s">
        <v>285</v>
      </c>
      <c r="C18" s="54" t="s">
        <v>79</v>
      </c>
      <c r="E18" s="55" t="s">
        <v>128</v>
      </c>
      <c r="F18" s="55" t="s">
        <v>129</v>
      </c>
      <c r="G18" s="55" t="s">
        <v>130</v>
      </c>
      <c r="H18" s="55" t="s">
        <v>131</v>
      </c>
      <c r="I18" s="57" t="s">
        <v>133</v>
      </c>
    </row>
    <row r="19" spans="1:9">
      <c r="A19" s="49">
        <v>90</v>
      </c>
      <c r="B19" s="49">
        <v>100</v>
      </c>
      <c r="C19" s="49" t="s">
        <v>81</v>
      </c>
      <c r="E19" s="19" t="s">
        <v>134</v>
      </c>
      <c r="F19" s="19" t="s">
        <v>135</v>
      </c>
      <c r="G19" s="19" t="s">
        <v>136</v>
      </c>
      <c r="H19" s="50">
        <v>999</v>
      </c>
      <c r="I19" s="19" t="s">
        <v>137</v>
      </c>
    </row>
    <row r="20" spans="1:9">
      <c r="A20" s="49">
        <v>80</v>
      </c>
      <c r="B20" s="49">
        <v>89</v>
      </c>
      <c r="C20" s="49" t="s">
        <v>83</v>
      </c>
      <c r="E20" s="19" t="s">
        <v>138</v>
      </c>
      <c r="F20" s="19" t="s">
        <v>139</v>
      </c>
      <c r="G20" s="19" t="s">
        <v>136</v>
      </c>
      <c r="H20" s="50">
        <v>25</v>
      </c>
      <c r="I20" s="19" t="s">
        <v>137</v>
      </c>
    </row>
    <row r="21" spans="1:9">
      <c r="A21" s="49">
        <v>70</v>
      </c>
      <c r="B21" s="49">
        <v>79</v>
      </c>
      <c r="C21" s="49" t="s">
        <v>85</v>
      </c>
      <c r="E21" s="19" t="s">
        <v>140</v>
      </c>
      <c r="F21" s="19" t="s">
        <v>141</v>
      </c>
      <c r="G21" s="19" t="s">
        <v>136</v>
      </c>
      <c r="H21" s="50">
        <v>75</v>
      </c>
      <c r="I21" s="19" t="s">
        <v>137</v>
      </c>
    </row>
    <row r="22" spans="1:9">
      <c r="A22" s="49">
        <v>60</v>
      </c>
      <c r="B22" s="49">
        <v>69</v>
      </c>
      <c r="C22" s="49" t="s">
        <v>87</v>
      </c>
      <c r="E22" s="19" t="s">
        <v>142</v>
      </c>
      <c r="F22" s="19" t="s">
        <v>143</v>
      </c>
      <c r="G22" s="19" t="s">
        <v>144</v>
      </c>
      <c r="H22" s="50">
        <v>350</v>
      </c>
      <c r="I22" s="19" t="s">
        <v>145</v>
      </c>
    </row>
    <row r="23" spans="1:9">
      <c r="A23" s="49">
        <v>0</v>
      </c>
      <c r="B23" s="49">
        <v>59</v>
      </c>
      <c r="C23" s="49" t="s">
        <v>89</v>
      </c>
      <c r="E23" s="19" t="s">
        <v>146</v>
      </c>
      <c r="F23" s="19" t="s">
        <v>147</v>
      </c>
      <c r="G23" s="19" t="s">
        <v>144</v>
      </c>
      <c r="H23" s="50">
        <v>250</v>
      </c>
      <c r="I23" s="19" t="s">
        <v>145</v>
      </c>
    </row>
    <row r="24" spans="1:9">
      <c r="E24" s="19" t="s">
        <v>148</v>
      </c>
      <c r="F24" s="19" t="s">
        <v>149</v>
      </c>
      <c r="G24" s="19" t="s">
        <v>150</v>
      </c>
      <c r="H24" s="50">
        <v>5</v>
      </c>
      <c r="I24" s="19" t="s">
        <v>151</v>
      </c>
    </row>
    <row r="25" spans="1:9">
      <c r="E25" s="19" t="s">
        <v>152</v>
      </c>
      <c r="F25" s="19" t="s">
        <v>153</v>
      </c>
      <c r="G25" s="19" t="s">
        <v>150</v>
      </c>
      <c r="H25" s="50">
        <v>12</v>
      </c>
      <c r="I25" s="19" t="s">
        <v>151</v>
      </c>
    </row>
    <row r="28" spans="1:9">
      <c r="A28" s="44" t="s">
        <v>286</v>
      </c>
      <c r="B28" s="28"/>
      <c r="C28" s="28"/>
      <c r="D28" s="28"/>
      <c r="E28" s="28"/>
    </row>
    <row r="30" spans="1:9">
      <c r="A30" s="56" t="s">
        <v>181</v>
      </c>
      <c r="B30" s="56" t="s">
        <v>173</v>
      </c>
      <c r="C30" s="56" t="s">
        <v>174</v>
      </c>
      <c r="D30" s="56" t="s">
        <v>175</v>
      </c>
      <c r="E30" s="56" t="s">
        <v>176</v>
      </c>
    </row>
    <row r="31" spans="1:9">
      <c r="A31" s="19" t="s">
        <v>177</v>
      </c>
      <c r="B31" s="50">
        <v>45000</v>
      </c>
      <c r="C31" s="50">
        <v>52000</v>
      </c>
      <c r="D31" s="50">
        <v>48000</v>
      </c>
      <c r="E31" s="50">
        <v>61000</v>
      </c>
    </row>
    <row r="32" spans="1:9">
      <c r="A32" s="19" t="s">
        <v>178</v>
      </c>
      <c r="B32" s="50">
        <v>38000</v>
      </c>
      <c r="C32" s="50">
        <v>41000</v>
      </c>
      <c r="D32" s="50">
        <v>45000</v>
      </c>
      <c r="E32" s="50">
        <v>50000</v>
      </c>
    </row>
    <row r="33" spans="1:5">
      <c r="A33" s="19" t="s">
        <v>179</v>
      </c>
      <c r="B33" s="50">
        <v>55000</v>
      </c>
      <c r="C33" s="50">
        <v>58000</v>
      </c>
      <c r="D33" s="50">
        <v>62000</v>
      </c>
      <c r="E33" s="50">
        <v>70000</v>
      </c>
    </row>
    <row r="34" spans="1:5">
      <c r="A34" s="19" t="s">
        <v>180</v>
      </c>
      <c r="B34" s="50">
        <v>42000</v>
      </c>
      <c r="C34" s="50">
        <v>47000</v>
      </c>
      <c r="D34" s="50">
        <v>51000</v>
      </c>
      <c r="E34" s="50">
        <v>55000</v>
      </c>
    </row>
    <row r="38" spans="1:5" ht="19" customHeight="1">
      <c r="A38" s="51" t="s">
        <v>287</v>
      </c>
      <c r="B38" s="28"/>
      <c r="C38" s="28"/>
      <c r="D38" s="28"/>
      <c r="E38" s="28"/>
    </row>
    <row r="40" spans="1:5">
      <c r="A40" s="21" t="s">
        <v>288</v>
      </c>
    </row>
    <row r="41" spans="1:5">
      <c r="A41" s="16" t="s">
        <v>289</v>
      </c>
    </row>
    <row r="42" spans="1:5">
      <c r="A42" s="16" t="s">
        <v>290</v>
      </c>
    </row>
    <row r="43" spans="1:5">
      <c r="A43" s="52"/>
    </row>
    <row r="44" spans="1:5">
      <c r="A44" s="21" t="s">
        <v>291</v>
      </c>
    </row>
    <row r="45" spans="1:5">
      <c r="A45" s="16" t="s">
        <v>292</v>
      </c>
    </row>
    <row r="46" spans="1:5">
      <c r="A46" s="16" t="s">
        <v>293</v>
      </c>
    </row>
    <row r="47" spans="1:5">
      <c r="A47" s="52"/>
    </row>
    <row r="48" spans="1:5">
      <c r="A48" s="21" t="s">
        <v>294</v>
      </c>
    </row>
    <row r="49" spans="1:8">
      <c r="A49" s="16" t="s">
        <v>295</v>
      </c>
    </row>
    <row r="50" spans="1:8">
      <c r="A50" s="16" t="s">
        <v>296</v>
      </c>
    </row>
    <row r="51" spans="1:8">
      <c r="A51" s="52"/>
    </row>
    <row r="52" spans="1:8">
      <c r="A52" s="21" t="s">
        <v>297</v>
      </c>
    </row>
    <row r="53" spans="1:8">
      <c r="A53" s="16" t="s">
        <v>298</v>
      </c>
    </row>
    <row r="54" spans="1:8">
      <c r="A54" s="16" t="s">
        <v>299</v>
      </c>
    </row>
    <row r="55" spans="1:8">
      <c r="A55" s="52"/>
    </row>
    <row r="56" spans="1:8">
      <c r="A56" s="21" t="s">
        <v>300</v>
      </c>
    </row>
    <row r="57" spans="1:8">
      <c r="A57" s="16" t="s">
        <v>301</v>
      </c>
    </row>
    <row r="58" spans="1:8">
      <c r="A58" s="52"/>
    </row>
    <row r="59" spans="1:8">
      <c r="A59" s="52"/>
    </row>
    <row r="60" spans="1:8">
      <c r="A60" s="21" t="s">
        <v>302</v>
      </c>
    </row>
    <row r="61" spans="1:8">
      <c r="A61" s="43" t="s">
        <v>303</v>
      </c>
      <c r="B61" s="28"/>
      <c r="C61" s="28"/>
      <c r="D61" s="28"/>
      <c r="E61" s="28"/>
      <c r="F61" s="28"/>
      <c r="G61" s="28"/>
      <c r="H61" s="28"/>
    </row>
    <row r="62" spans="1:8">
      <c r="A62" s="52"/>
    </row>
    <row r="63" spans="1:8">
      <c r="A63" s="52"/>
    </row>
    <row r="64" spans="1:8">
      <c r="A64" s="21" t="s">
        <v>304</v>
      </c>
    </row>
    <row r="65" spans="1:8">
      <c r="A65" s="43" t="s">
        <v>305</v>
      </c>
      <c r="B65" s="28"/>
      <c r="C65" s="28"/>
      <c r="D65" s="28"/>
      <c r="E65" s="28"/>
      <c r="F65" s="28"/>
      <c r="G65" s="28"/>
      <c r="H65" s="28"/>
    </row>
    <row r="66" spans="1:8">
      <c r="A66" s="52"/>
    </row>
    <row r="67" spans="1:8">
      <c r="A67" s="52"/>
    </row>
    <row r="68" spans="1:8">
      <c r="A68" s="21" t="s">
        <v>306</v>
      </c>
    </row>
    <row r="69" spans="1:8" ht="16" customHeight="1">
      <c r="A69" s="43" t="s">
        <v>307</v>
      </c>
      <c r="B69" s="43"/>
      <c r="C69" s="43"/>
      <c r="D69" s="43"/>
      <c r="E69" s="43"/>
      <c r="F69" s="43"/>
      <c r="G69" s="43"/>
      <c r="H69" s="43"/>
    </row>
  </sheetData>
  <mergeCells count="8">
    <mergeCell ref="A1:G1"/>
    <mergeCell ref="A69:H69"/>
    <mergeCell ref="A38:E38"/>
    <mergeCell ref="A65:H65"/>
    <mergeCell ref="A28:E28"/>
    <mergeCell ref="A61:H61"/>
    <mergeCell ref="A16:C16"/>
    <mergeCell ref="E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1-IF with AND-OR</vt:lpstr>
      <vt:lpstr>2-IFS and Nested IF</vt:lpstr>
      <vt:lpstr>3-VLOOKUP-HLOOKUP-XLOOKUP</vt:lpstr>
      <vt:lpstr>4-INDEX-MATCH</vt:lpstr>
      <vt:lpstr>5-INDIRECT</vt:lpstr>
      <vt:lpstr>6-LET Function</vt:lpstr>
      <vt:lpstr>Practice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Jasser Jasser</dc:creator>
  <cp:lastModifiedBy>Jasser Jasser</cp:lastModifiedBy>
  <dcterms:created xsi:type="dcterms:W3CDTF">2026-05-15T15:14:33Z</dcterms:created>
  <dcterms:modified xsi:type="dcterms:W3CDTF">2026-05-15T15:52:22Z</dcterms:modified>
</cp:coreProperties>
</file>