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Regression" sheetId="1" state="visible" r:id="rId1"/>
    <sheet name="Multiple_Variables_P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"/>
    <numFmt numFmtId="165" formatCode="&quot;$&quot;#,##0.00"/>
    <numFmt numFmtId="166" formatCode="0.000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/>
    <font>
      <i val="1"/>
      <sz val="11"/>
    </font>
    <font>
      <b val="1"/>
      <sz val="11"/>
    </font>
    <font>
      <b val="1"/>
      <color rgb="00FFFFFF"/>
    </font>
    <font>
      <b val="1"/>
    </font>
    <font>
      <name val="Courier New"/>
      <sz val="9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7F7F7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7" borderId="1" applyAlignment="1" pivotButton="0" quotePrefix="0" xfId="0">
      <alignment wrapText="1"/>
    </xf>
    <xf numFmtId="165" fontId="0" fillId="6" borderId="1" applyAlignment="1" pivotButton="0" quotePrefix="0" xfId="0">
      <alignment horizontal="center"/>
    </xf>
    <xf numFmtId="0" fontId="2" fillId="4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6" fontId="0" fillId="6" borderId="1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top" wrapText="1"/>
    </xf>
    <xf numFmtId="0" fontId="5" fillId="8" borderId="0" applyAlignment="1" pivotButton="0" quotePrefix="0" xfId="0">
      <alignment horizontal="left"/>
    </xf>
    <xf numFmtId="0" fontId="8" fillId="4" borderId="0" applyAlignment="1" pivotButton="0" quotePrefix="0" xfId="0">
      <alignment wrapText="1"/>
    </xf>
    <xf numFmtId="0" fontId="8" fillId="7" borderId="0" applyAlignment="1" pivotButton="0" quotePrefix="0" xfId="0">
      <alignment wrapText="1"/>
    </xf>
    <xf numFmtId="0" fontId="9" fillId="4" borderId="0" applyAlignment="1" pivotButton="0" quotePrefix="0" xfId="0">
      <alignment wrapText="1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0" customWidth="1" min="4" max="4"/>
    <col width="16" customWidth="1" min="5" max="5"/>
    <col width="14" customWidth="1" min="6" max="6"/>
    <col width="40" customWidth="1" min="7" max="7"/>
  </cols>
  <sheetData>
    <row r="1" ht="30" customHeight="1">
      <c r="A1" s="1" t="inlineStr">
        <is>
          <t>Simple Linear Regression — Predict One Variable from Another (Objective 8)</t>
        </is>
      </c>
    </row>
    <row r="2" ht="50" customHeight="1">
      <c r="A2" s="2" t="inlineStr">
        <is>
          <t>Simple linear regression finds the best-fit LINE through your data: Y = b₀ + b₁X. b₀ is the intercept (predicted Y when X=0); b₁ is the slope (how much Y changes for each unit increase in X). Use SLOPE, INTERCEPT, and RSQ (R²) in Excel, or use the ToolPak Regression tool.</t>
        </is>
      </c>
    </row>
    <row r="4">
      <c r="A4" s="3" t="inlineStr">
        <is>
          <t>Month</t>
        </is>
      </c>
      <c r="B4" s="3" t="inlineStr">
        <is>
          <t>Ad Spend ($K)</t>
        </is>
      </c>
      <c r="C4" s="3" t="inlineStr">
        <is>
          <t>Revenue ($K)</t>
        </is>
      </c>
      <c r="D4" s="3" t="inlineStr">
        <is>
          <t>Predicted Revenue</t>
        </is>
      </c>
      <c r="E4" s="3" t="inlineStr">
        <is>
          <t>Residual</t>
        </is>
      </c>
      <c r="F4" s="3" t="inlineStr">
        <is>
          <t>Residual²</t>
        </is>
      </c>
    </row>
    <row r="5">
      <c r="A5" s="4" t="n">
        <v>1</v>
      </c>
      <c r="B5" s="5" t="n">
        <v>5.2</v>
      </c>
      <c r="C5" s="5" t="n">
        <v>42.1</v>
      </c>
      <c r="D5" s="6">
        <f>INTERCEPT($C$5:$C$28,$B$5:$B$28)+SLOPE($C$5:$C$28,$B$5:$B$28)*B5</f>
        <v/>
      </c>
      <c r="E5" s="6">
        <f>C5-D5</f>
        <v/>
      </c>
      <c r="F5" s="6">
        <f>E5^2</f>
        <v/>
      </c>
    </row>
    <row r="6">
      <c r="A6" s="7" t="n">
        <v>2</v>
      </c>
      <c r="B6" s="5" t="n">
        <v>6.1</v>
      </c>
      <c r="C6" s="5" t="n">
        <v>48.3</v>
      </c>
      <c r="D6" s="6">
        <f>INTERCEPT($C$5:$C$28,$B$5:$B$28)+SLOPE($C$5:$C$28,$B$5:$B$28)*B6</f>
        <v/>
      </c>
      <c r="E6" s="6">
        <f>C6-D6</f>
        <v/>
      </c>
      <c r="F6" s="6">
        <f>E6^2</f>
        <v/>
      </c>
    </row>
    <row r="7">
      <c r="A7" s="4" t="n">
        <v>3</v>
      </c>
      <c r="B7" s="5" t="n">
        <v>7.5</v>
      </c>
      <c r="C7" s="5" t="n">
        <v>58</v>
      </c>
      <c r="D7" s="6">
        <f>INTERCEPT($C$5:$C$28,$B$5:$B$28)+SLOPE($C$5:$C$28,$B$5:$B$28)*B7</f>
        <v/>
      </c>
      <c r="E7" s="6">
        <f>C7-D7</f>
        <v/>
      </c>
      <c r="F7" s="6">
        <f>E7^2</f>
        <v/>
      </c>
    </row>
    <row r="8">
      <c r="A8" s="7" t="n">
        <v>4</v>
      </c>
      <c r="B8" s="5" t="n">
        <v>8.300000000000001</v>
      </c>
      <c r="C8" s="5" t="n">
        <v>65.2</v>
      </c>
      <c r="D8" s="6">
        <f>INTERCEPT($C$5:$C$28,$B$5:$B$28)+SLOPE($C$5:$C$28,$B$5:$B$28)*B8</f>
        <v/>
      </c>
      <c r="E8" s="6">
        <f>C8-D8</f>
        <v/>
      </c>
      <c r="F8" s="6">
        <f>E8^2</f>
        <v/>
      </c>
    </row>
    <row r="9">
      <c r="A9" s="4" t="n">
        <v>5</v>
      </c>
      <c r="B9" s="5" t="n">
        <v>9</v>
      </c>
      <c r="C9" s="5" t="n">
        <v>72.09999999999999</v>
      </c>
      <c r="D9" s="6">
        <f>INTERCEPT($C$5:$C$28,$B$5:$B$28)+SLOPE($C$5:$C$28,$B$5:$B$28)*B9</f>
        <v/>
      </c>
      <c r="E9" s="6">
        <f>C9-D9</f>
        <v/>
      </c>
      <c r="F9" s="6">
        <f>E9^2</f>
        <v/>
      </c>
    </row>
    <row r="10">
      <c r="A10" s="7" t="n">
        <v>6</v>
      </c>
      <c r="B10" s="5" t="n">
        <v>11.2</v>
      </c>
      <c r="C10" s="5" t="n">
        <v>88.90000000000001</v>
      </c>
      <c r="D10" s="6">
        <f>INTERCEPT($C$5:$C$28,$B$5:$B$28)+SLOPE($C$5:$C$28,$B$5:$B$28)*B10</f>
        <v/>
      </c>
      <c r="E10" s="6">
        <f>C10-D10</f>
        <v/>
      </c>
      <c r="F10" s="6">
        <f>E10^2</f>
        <v/>
      </c>
    </row>
    <row r="11">
      <c r="A11" s="4" t="n">
        <v>7</v>
      </c>
      <c r="B11" s="5" t="n">
        <v>12.5</v>
      </c>
      <c r="C11" s="5" t="n">
        <v>98.40000000000001</v>
      </c>
      <c r="D11" s="6">
        <f>INTERCEPT($C$5:$C$28,$B$5:$B$28)+SLOPE($C$5:$C$28,$B$5:$B$28)*B11</f>
        <v/>
      </c>
      <c r="E11" s="6">
        <f>C11-D11</f>
        <v/>
      </c>
      <c r="F11" s="6">
        <f>E11^2</f>
        <v/>
      </c>
    </row>
    <row r="12">
      <c r="A12" s="7" t="n">
        <v>8</v>
      </c>
      <c r="B12" s="5" t="n">
        <v>11.8</v>
      </c>
      <c r="C12" s="5" t="n">
        <v>94.09999999999999</v>
      </c>
      <c r="D12" s="6">
        <f>INTERCEPT($C$5:$C$28,$B$5:$B$28)+SLOPE($C$5:$C$28,$B$5:$B$28)*B12</f>
        <v/>
      </c>
      <c r="E12" s="6">
        <f>C12-D12</f>
        <v/>
      </c>
      <c r="F12" s="6">
        <f>E12^2</f>
        <v/>
      </c>
    </row>
    <row r="13">
      <c r="A13" s="4" t="n">
        <v>9</v>
      </c>
      <c r="B13" s="5" t="n">
        <v>10.2</v>
      </c>
      <c r="C13" s="5" t="n">
        <v>81.59999999999999</v>
      </c>
      <c r="D13" s="6">
        <f>INTERCEPT($C$5:$C$28,$B$5:$B$28)+SLOPE($C$5:$C$28,$B$5:$B$28)*B13</f>
        <v/>
      </c>
      <c r="E13" s="6">
        <f>C13-D13</f>
        <v/>
      </c>
      <c r="F13" s="6">
        <f>E13^2</f>
        <v/>
      </c>
    </row>
    <row r="14">
      <c r="A14" s="7" t="n">
        <v>10</v>
      </c>
      <c r="B14" s="5" t="n">
        <v>8.699999999999999</v>
      </c>
      <c r="C14" s="5" t="n">
        <v>69.3</v>
      </c>
      <c r="D14" s="6">
        <f>INTERCEPT($C$5:$C$28,$B$5:$B$28)+SLOPE($C$5:$C$28,$B$5:$B$28)*B14</f>
        <v/>
      </c>
      <c r="E14" s="6">
        <f>C14-D14</f>
        <v/>
      </c>
      <c r="F14" s="6">
        <f>E14^2</f>
        <v/>
      </c>
    </row>
    <row r="15">
      <c r="A15" s="4" t="n">
        <v>11</v>
      </c>
      <c r="B15" s="5" t="n">
        <v>7.1</v>
      </c>
      <c r="C15" s="5" t="n">
        <v>56.8</v>
      </c>
      <c r="D15" s="6">
        <f>INTERCEPT($C$5:$C$28,$B$5:$B$28)+SLOPE($C$5:$C$28,$B$5:$B$28)*B15</f>
        <v/>
      </c>
      <c r="E15" s="6">
        <f>C15-D15</f>
        <v/>
      </c>
      <c r="F15" s="6">
        <f>E15^2</f>
        <v/>
      </c>
    </row>
    <row r="16">
      <c r="A16" s="7" t="n">
        <v>12</v>
      </c>
      <c r="B16" s="5" t="n">
        <v>9.5</v>
      </c>
      <c r="C16" s="5" t="n">
        <v>76.2</v>
      </c>
      <c r="D16" s="6">
        <f>INTERCEPT($C$5:$C$28,$B$5:$B$28)+SLOPE($C$5:$C$28,$B$5:$B$28)*B16</f>
        <v/>
      </c>
      <c r="E16" s="6">
        <f>C16-D16</f>
        <v/>
      </c>
      <c r="F16" s="6">
        <f>E16^2</f>
        <v/>
      </c>
    </row>
    <row r="17">
      <c r="A17" s="4" t="n">
        <v>13</v>
      </c>
      <c r="B17" s="5" t="n">
        <v>6</v>
      </c>
      <c r="C17" s="5" t="n">
        <v>44.5</v>
      </c>
      <c r="D17" s="6">
        <f>INTERCEPT($C$5:$C$28,$B$5:$B$28)+SLOPE($C$5:$C$28,$B$5:$B$28)*B17</f>
        <v/>
      </c>
      <c r="E17" s="6">
        <f>C17-D17</f>
        <v/>
      </c>
      <c r="F17" s="6">
        <f>E17^2</f>
        <v/>
      </c>
    </row>
    <row r="18">
      <c r="A18" s="7" t="n">
        <v>14</v>
      </c>
      <c r="B18" s="5" t="n">
        <v>6.8</v>
      </c>
      <c r="C18" s="5" t="n">
        <v>52.1</v>
      </c>
      <c r="D18" s="6">
        <f>INTERCEPT($C$5:$C$28,$B$5:$B$28)+SLOPE($C$5:$C$28,$B$5:$B$28)*B18</f>
        <v/>
      </c>
      <c r="E18" s="6">
        <f>C18-D18</f>
        <v/>
      </c>
      <c r="F18" s="6">
        <f>E18^2</f>
        <v/>
      </c>
    </row>
    <row r="19">
      <c r="A19" s="4" t="n">
        <v>15</v>
      </c>
      <c r="B19" s="5" t="n">
        <v>8.1</v>
      </c>
      <c r="C19" s="5" t="n">
        <v>63.7</v>
      </c>
      <c r="D19" s="6">
        <f>INTERCEPT($C$5:$C$28,$B$5:$B$28)+SLOPE($C$5:$C$28,$B$5:$B$28)*B19</f>
        <v/>
      </c>
      <c r="E19" s="6">
        <f>C19-D19</f>
        <v/>
      </c>
      <c r="F19" s="6">
        <f>E19^2</f>
        <v/>
      </c>
    </row>
    <row r="20">
      <c r="A20" s="7" t="n">
        <v>16</v>
      </c>
      <c r="B20" s="5" t="n">
        <v>9.4</v>
      </c>
      <c r="C20" s="5" t="n">
        <v>74.8</v>
      </c>
      <c r="D20" s="6">
        <f>INTERCEPT($C$5:$C$28,$B$5:$B$28)+SLOPE($C$5:$C$28,$B$5:$B$28)*B20</f>
        <v/>
      </c>
      <c r="E20" s="6">
        <f>C20-D20</f>
        <v/>
      </c>
      <c r="F20" s="6">
        <f>E20^2</f>
        <v/>
      </c>
    </row>
    <row r="21">
      <c r="A21" s="4" t="n">
        <v>17</v>
      </c>
      <c r="B21" s="5" t="n">
        <v>10.5</v>
      </c>
      <c r="C21" s="5" t="n">
        <v>83.5</v>
      </c>
      <c r="D21" s="6">
        <f>INTERCEPT($C$5:$C$28,$B$5:$B$28)+SLOPE($C$5:$C$28,$B$5:$B$28)*B21</f>
        <v/>
      </c>
      <c r="E21" s="6">
        <f>C21-D21</f>
        <v/>
      </c>
      <c r="F21" s="6">
        <f>E21^2</f>
        <v/>
      </c>
    </row>
    <row r="22">
      <c r="A22" s="7" t="n">
        <v>18</v>
      </c>
      <c r="B22" s="5" t="n">
        <v>12</v>
      </c>
      <c r="C22" s="5" t="n">
        <v>95.2</v>
      </c>
      <c r="D22" s="6">
        <f>INTERCEPT($C$5:$C$28,$B$5:$B$28)+SLOPE($C$5:$C$28,$B$5:$B$28)*B22</f>
        <v/>
      </c>
      <c r="E22" s="6">
        <f>C22-D22</f>
        <v/>
      </c>
      <c r="F22" s="6">
        <f>E22^2</f>
        <v/>
      </c>
    </row>
    <row r="23">
      <c r="A23" s="4" t="n">
        <v>19</v>
      </c>
      <c r="B23" s="5" t="n">
        <v>13.1</v>
      </c>
      <c r="C23" s="5" t="n">
        <v>103.4</v>
      </c>
      <c r="D23" s="6">
        <f>INTERCEPT($C$5:$C$28,$B$5:$B$28)+SLOPE($C$5:$C$28,$B$5:$B$28)*B23</f>
        <v/>
      </c>
      <c r="E23" s="6">
        <f>C23-D23</f>
        <v/>
      </c>
      <c r="F23" s="6">
        <f>E23^2</f>
        <v/>
      </c>
    </row>
    <row r="24">
      <c r="A24" s="7" t="n">
        <v>20</v>
      </c>
      <c r="B24" s="5" t="n">
        <v>12.3</v>
      </c>
      <c r="C24" s="5" t="n">
        <v>97.8</v>
      </c>
      <c r="D24" s="6">
        <f>INTERCEPT($C$5:$C$28,$B$5:$B$28)+SLOPE($C$5:$C$28,$B$5:$B$28)*B24</f>
        <v/>
      </c>
      <c r="E24" s="6">
        <f>C24-D24</f>
        <v/>
      </c>
      <c r="F24" s="6">
        <f>E24^2</f>
        <v/>
      </c>
    </row>
    <row r="25">
      <c r="A25" s="4" t="n">
        <v>21</v>
      </c>
      <c r="B25" s="5" t="n">
        <v>11</v>
      </c>
      <c r="C25" s="5" t="n">
        <v>87.3</v>
      </c>
      <c r="D25" s="6">
        <f>INTERCEPT($C$5:$C$28,$B$5:$B$28)+SLOPE($C$5:$C$28,$B$5:$B$28)*B25</f>
        <v/>
      </c>
      <c r="E25" s="6">
        <f>C25-D25</f>
        <v/>
      </c>
      <c r="F25" s="6">
        <f>E25^2</f>
        <v/>
      </c>
    </row>
    <row r="26">
      <c r="A26" s="7" t="n">
        <v>22</v>
      </c>
      <c r="B26" s="5" t="n">
        <v>9.199999999999999</v>
      </c>
      <c r="C26" s="5" t="n">
        <v>73.2</v>
      </c>
      <c r="D26" s="6">
        <f>INTERCEPT($C$5:$C$28,$B$5:$B$28)+SLOPE($C$5:$C$28,$B$5:$B$28)*B26</f>
        <v/>
      </c>
      <c r="E26" s="6">
        <f>C26-D26</f>
        <v/>
      </c>
      <c r="F26" s="6">
        <f>E26^2</f>
        <v/>
      </c>
    </row>
    <row r="27">
      <c r="A27" s="4" t="n">
        <v>23</v>
      </c>
      <c r="B27" s="5" t="n">
        <v>7.8</v>
      </c>
      <c r="C27" s="5" t="n">
        <v>61.4</v>
      </c>
      <c r="D27" s="6">
        <f>INTERCEPT($C$5:$C$28,$B$5:$B$28)+SLOPE($C$5:$C$28,$B$5:$B$28)*B27</f>
        <v/>
      </c>
      <c r="E27" s="6">
        <f>C27-D27</f>
        <v/>
      </c>
      <c r="F27" s="6">
        <f>E27^2</f>
        <v/>
      </c>
    </row>
    <row r="28">
      <c r="A28" s="7" t="n">
        <v>24</v>
      </c>
      <c r="B28" s="5" t="n">
        <v>10.2</v>
      </c>
      <c r="C28" s="5" t="n">
        <v>80.90000000000001</v>
      </c>
      <c r="D28" s="6">
        <f>INTERCEPT($C$5:$C$28,$B$5:$B$28)+SLOPE($C$5:$C$28,$B$5:$B$28)*B28</f>
        <v/>
      </c>
      <c r="E28" s="6">
        <f>C28-D28</f>
        <v/>
      </c>
      <c r="F28" s="6">
        <f>E28^2</f>
        <v/>
      </c>
    </row>
    <row r="30" ht="24" customHeight="1">
      <c r="A30" s="8" t="inlineStr">
        <is>
          <t>Regression Statistics</t>
        </is>
      </c>
    </row>
    <row r="31">
      <c r="A31" s="3" t="inlineStr">
        <is>
          <t>Statistic</t>
        </is>
      </c>
      <c r="B31" s="3" t="inlineStr">
        <is>
          <t>Formula</t>
        </is>
      </c>
      <c r="C31" s="3" t="inlineStr">
        <is>
          <t>Value</t>
        </is>
      </c>
      <c r="D31" s="3" t="inlineStr">
        <is>
          <t>Interpretation</t>
        </is>
      </c>
    </row>
    <row r="32" ht="36" customHeight="1">
      <c r="A32" s="9" t="inlineStr">
        <is>
          <t>Slope (b₁)</t>
        </is>
      </c>
      <c r="B32" s="10" t="inlineStr">
        <is>
          <t>'=SLOPE(C5:C28,B5:B28)</t>
        </is>
      </c>
      <c r="C32" s="11">
        <f>SLOPE(C5:C28,B5:B28)</f>
        <v/>
      </c>
      <c r="D32" s="12" t="inlineStr">
        <is>
          <t>For each $1K increase in ad spend, revenue increases by b₁ $K.</t>
        </is>
      </c>
    </row>
    <row r="33" ht="36" customHeight="1">
      <c r="A33" s="13" t="inlineStr">
        <is>
          <t>Intercept (b₀)</t>
        </is>
      </c>
      <c r="B33" s="10" t="inlineStr">
        <is>
          <t>'=INTERCEPT(C5:C28,B5:B28)</t>
        </is>
      </c>
      <c r="C33" s="11">
        <f>INTERCEPT(C5:C28,B5:B28)</f>
        <v/>
      </c>
      <c r="D33" s="14" t="inlineStr">
        <is>
          <t>Predicted revenue when ad spend = 0 (baseline).</t>
        </is>
      </c>
    </row>
    <row r="34" ht="36" customHeight="1">
      <c r="A34" s="9" t="inlineStr">
        <is>
          <t>R-Squared (R²)</t>
        </is>
      </c>
      <c r="B34" s="10" t="inlineStr">
        <is>
          <t>'=RSQ(C5:C28,B5:B28)</t>
        </is>
      </c>
      <c r="C34" s="15">
        <f>RSQ(C5:C28,B5:B28)</f>
        <v/>
      </c>
      <c r="D34" s="12" t="inlineStr">
        <is>
          <t>% of revenue variation explained by ad spend. Closer to 1 = better fit.</t>
        </is>
      </c>
    </row>
    <row r="35" ht="36" customHeight="1">
      <c r="A35" s="13" t="inlineStr">
        <is>
          <t>Pearson r</t>
        </is>
      </c>
      <c r="B35" s="10" t="inlineStr">
        <is>
          <t>'=CORREL(B5:B28,C5:C28)</t>
        </is>
      </c>
      <c r="C35" s="15">
        <f>CORREL(B5:B28,C5:C28)</f>
        <v/>
      </c>
      <c r="D35" s="14" t="inlineStr">
        <is>
          <t>Strength and direction of linear relationship.</t>
        </is>
      </c>
    </row>
    <row r="36" ht="36" customHeight="1">
      <c r="A36" s="9" t="inlineStr">
        <is>
          <t>Standard Error (of estimate)</t>
        </is>
      </c>
      <c r="B36" s="10" t="inlineStr">
        <is>
          <t>'=SQRT(SUMPRODUCT((C5:C28-(INTERCEPT(C5:C28,B5:B28)+SLOPE(C5:C28,B5:B28)*B5:B28))^2)/(COUNT(C5:C28)-2))</t>
        </is>
      </c>
      <c r="C36" s="11">
        <f>SQRT(SUMPRODUCT((C5:C28-(INTERCEPT(C5:C28,B5:B28)+SLOPE(C5:C28,B5:B28)*B5:B28))^2)/(COUNT(C5:C28)-2))</f>
        <v/>
      </c>
      <c r="D36" s="12" t="inlineStr">
        <is>
          <t>Average prediction error — smaller = more accurate model.</t>
        </is>
      </c>
    </row>
    <row r="39" ht="24" customHeight="1">
      <c r="A39" s="8" t="inlineStr">
        <is>
          <t>Making Predictions with the Regression Equation</t>
        </is>
      </c>
    </row>
    <row r="40">
      <c r="A40" s="3" t="inlineStr">
        <is>
          <t>Scenario</t>
        </is>
      </c>
      <c r="B40" s="3" t="inlineStr">
        <is>
          <t>Ad Spend ($K)</t>
        </is>
      </c>
      <c r="C40" s="3" t="inlineStr">
        <is>
          <t>Predicted Revenue</t>
        </is>
      </c>
      <c r="D40" s="3" t="inlineStr">
        <is>
          <t>Formula Used</t>
        </is>
      </c>
      <c r="E40" s="16" t="inlineStr"/>
    </row>
    <row r="41">
      <c r="A41" s="12" t="inlineStr">
        <is>
          <t>Current budget</t>
        </is>
      </c>
      <c r="B41" s="5" t="n">
        <v>10</v>
      </c>
      <c r="C41" s="6">
        <f>INTERCEPT($C$5:$C$28,$B$5:$B$28)+SLOPE($C$5:$C$28,$B$5:$B$28)*B41</f>
        <v/>
      </c>
      <c r="D41" s="17">
        <f>INTERCEPT(revenue,adspend)+SLOPE(revenue,adspend)*adspend</f>
        <v/>
      </c>
    </row>
    <row r="42">
      <c r="A42" s="14" t="inlineStr">
        <is>
          <t>+20% budget increase</t>
        </is>
      </c>
      <c r="B42" s="5" t="n">
        <v>12</v>
      </c>
      <c r="C42" s="6">
        <f>INTERCEPT($C$5:$C$28,$B$5:$B$28)+SLOPE($C$5:$C$28,$B$5:$B$28)*B42</f>
        <v/>
      </c>
      <c r="D42" s="17">
        <f>INTERCEPT(revenue,adspend)+SLOPE(revenue,adspend)*adspend</f>
        <v/>
      </c>
    </row>
    <row r="43">
      <c r="A43" s="12" t="inlineStr">
        <is>
          <t>Budget cut (-30%)</t>
        </is>
      </c>
      <c r="B43" s="5" t="n">
        <v>7</v>
      </c>
      <c r="C43" s="6">
        <f>INTERCEPT($C$5:$C$28,$B$5:$B$28)+SLOPE($C$5:$C$28,$B$5:$B$28)*B43</f>
        <v/>
      </c>
      <c r="D43" s="17">
        <f>INTERCEPT(revenue,adspend)+SLOPE(revenue,adspend)*adspend</f>
        <v/>
      </c>
    </row>
    <row r="44">
      <c r="A44" s="14" t="inlineStr">
        <is>
          <t>Maximum planned spend</t>
        </is>
      </c>
      <c r="B44" s="5" t="n">
        <v>15</v>
      </c>
      <c r="C44" s="6">
        <f>INTERCEPT($C$5:$C$28,$B$5:$B$28)+SLOPE($C$5:$C$28,$B$5:$B$28)*B44</f>
        <v/>
      </c>
      <c r="D44" s="17">
        <f>INTERCEPT(revenue,adspend)+SLOPE(revenue,adspend)*adspend</f>
        <v/>
      </c>
    </row>
    <row r="47" ht="24" customHeight="1">
      <c r="A47" s="18" t="inlineStr">
        <is>
          <t>🔧 ToolPak Regression — Step by Step</t>
        </is>
      </c>
    </row>
    <row r="48">
      <c r="A48" s="19" t="inlineStr">
        <is>
          <t>1. Data tab → Data Analysis → Regression → OK</t>
        </is>
      </c>
    </row>
    <row r="49">
      <c r="A49" s="20" t="inlineStr">
        <is>
          <t>2. Input Y Range: C4:C28  (Revenue — the variable you want to PREDICT)</t>
        </is>
      </c>
    </row>
    <row r="50">
      <c r="A50" s="19" t="inlineStr">
        <is>
          <t>3. Input X Range: B4:B28  (Ad Spend — the PREDICTOR variable)</t>
        </is>
      </c>
    </row>
    <row r="51">
      <c r="A51" s="20" t="inlineStr">
        <is>
          <t>4. Check 'Labels' (row 4 has headers)</t>
        </is>
      </c>
    </row>
    <row r="52">
      <c r="A52" s="19" t="inlineStr">
        <is>
          <t>5. Check 'Residuals' and 'Residual Plots' to evaluate model fit</t>
        </is>
      </c>
    </row>
    <row r="53">
      <c r="A53" s="20" t="inlineStr">
        <is>
          <t>6. Output: New Worksheet named 'Regression_Output'</t>
        </is>
      </c>
    </row>
    <row r="54">
      <c r="A54" s="19" t="inlineStr">
        <is>
          <t>7. Click OK — Excel gives you full output: coefficients, R², ANOVA table, residuals</t>
        </is>
      </c>
    </row>
    <row r="55">
      <c r="A55" s="20" t="inlineStr"/>
    </row>
    <row r="56">
      <c r="A56" s="21" t="inlineStr">
        <is>
          <t>Reading the ToolPak output:</t>
        </is>
      </c>
    </row>
    <row r="57">
      <c r="A57" s="20" t="inlineStr">
        <is>
          <t xml:space="preserve">  • Multiple R = Pearson r (correlation coefficient)</t>
        </is>
      </c>
    </row>
    <row r="58">
      <c r="A58" s="19" t="inlineStr">
        <is>
          <t xml:space="preserve">  • R Square = R² (proportion of variance explained)</t>
        </is>
      </c>
    </row>
    <row r="59">
      <c r="A59" s="20" t="inlineStr">
        <is>
          <t xml:space="preserve">  • Coefficients table: Intercept = b₀, X Variable 1 = b₁ (slope)</t>
        </is>
      </c>
    </row>
    <row r="60">
      <c r="A60" s="19" t="inlineStr">
        <is>
          <t xml:space="preserve">  • P-value &lt; 0.05 means the predictor is statistically significant</t>
        </is>
      </c>
    </row>
    <row r="61">
      <c r="A61" s="20" t="inlineStr">
        <is>
          <t xml:space="preserve">  • Standard Error column = uncertainty in each coefficient</t>
        </is>
      </c>
    </row>
  </sheetData>
  <mergeCells count="19">
    <mergeCell ref="A53:G53"/>
    <mergeCell ref="A52:G52"/>
    <mergeCell ref="A58:G58"/>
    <mergeCell ref="A39:G39"/>
    <mergeCell ref="A30:D30"/>
    <mergeCell ref="A48:G48"/>
    <mergeCell ref="A59:G59"/>
    <mergeCell ref="A60:G60"/>
    <mergeCell ref="A51:G51"/>
    <mergeCell ref="A49:G49"/>
    <mergeCell ref="A61:G61"/>
    <mergeCell ref="A1:G1"/>
    <mergeCell ref="A54:G54"/>
    <mergeCell ref="A56:G56"/>
    <mergeCell ref="A55:G55"/>
    <mergeCell ref="A50:G50"/>
    <mergeCell ref="A2:G2"/>
    <mergeCell ref="A57:G57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 ht="30" customHeight="1">
      <c r="A1" s="1" t="inlineStr">
        <is>
          <t>Multiple Regression — Two Predictors (Objective 8)</t>
        </is>
      </c>
    </row>
    <row r="2" ht="60" customHeight="1">
      <c r="A2" s="2" t="inlineStr">
        <is>
          <t>Multiple regression extends simple regression to use TWO OR MORE predictors. The model becomes: Revenue = b₀ + b₁(Ad Spend) + b₂(Temperature). R² usually improves when you add relevant predictors. Use the ToolPak — Excel cannot build multiple regression with formulas alone.</t>
        </is>
      </c>
    </row>
    <row r="4">
      <c r="A4" s="3" t="inlineStr">
        <is>
          <t>Month</t>
        </is>
      </c>
      <c r="B4" s="3" t="inlineStr">
        <is>
          <t>Ad Spend ($K)</t>
        </is>
      </c>
      <c r="C4" s="3" t="inlineStr">
        <is>
          <t>Temp (°F)</t>
        </is>
      </c>
      <c r="D4" s="3" t="inlineStr">
        <is>
          <t>Web Traffic</t>
        </is>
      </c>
      <c r="E4" s="3" t="inlineStr">
        <is>
          <t>Revenue ($K)</t>
        </is>
      </c>
      <c r="F4" s="16" t="inlineStr"/>
    </row>
    <row r="5">
      <c r="A5" s="4" t="n">
        <v>1</v>
      </c>
      <c r="B5" s="5" t="n">
        <v>5.2</v>
      </c>
      <c r="C5" s="22" t="n">
        <v>35</v>
      </c>
      <c r="D5" s="22" t="n">
        <v>3200</v>
      </c>
      <c r="E5" s="5" t="n">
        <v>42.1</v>
      </c>
    </row>
    <row r="6">
      <c r="A6" s="7" t="n">
        <v>2</v>
      </c>
      <c r="B6" s="5" t="n">
        <v>6.1</v>
      </c>
      <c r="C6" s="22" t="n">
        <v>38</v>
      </c>
      <c r="D6" s="22" t="n">
        <v>3800</v>
      </c>
      <c r="E6" s="5" t="n">
        <v>48.3</v>
      </c>
    </row>
    <row r="7">
      <c r="A7" s="4" t="n">
        <v>3</v>
      </c>
      <c r="B7" s="5" t="n">
        <v>7.5</v>
      </c>
      <c r="C7" s="22" t="n">
        <v>52</v>
      </c>
      <c r="D7" s="22" t="n">
        <v>4500</v>
      </c>
      <c r="E7" s="5" t="n">
        <v>58</v>
      </c>
    </row>
    <row r="8">
      <c r="A8" s="7" t="n">
        <v>4</v>
      </c>
      <c r="B8" s="5" t="n">
        <v>8.300000000000001</v>
      </c>
      <c r="C8" s="22" t="n">
        <v>62</v>
      </c>
      <c r="D8" s="22" t="n">
        <v>5100</v>
      </c>
      <c r="E8" s="5" t="n">
        <v>65.2</v>
      </c>
    </row>
    <row r="9">
      <c r="A9" s="4" t="n">
        <v>5</v>
      </c>
      <c r="B9" s="5" t="n">
        <v>9</v>
      </c>
      <c r="C9" s="22" t="n">
        <v>74</v>
      </c>
      <c r="D9" s="22" t="n">
        <v>5600</v>
      </c>
      <c r="E9" s="5" t="n">
        <v>72.09999999999999</v>
      </c>
    </row>
    <row r="10">
      <c r="A10" s="7" t="n">
        <v>6</v>
      </c>
      <c r="B10" s="5" t="n">
        <v>11.2</v>
      </c>
      <c r="C10" s="22" t="n">
        <v>86</v>
      </c>
      <c r="D10" s="22" t="n">
        <v>7200</v>
      </c>
      <c r="E10" s="5" t="n">
        <v>88.90000000000001</v>
      </c>
    </row>
    <row r="11">
      <c r="A11" s="4" t="n">
        <v>7</v>
      </c>
      <c r="B11" s="5" t="n">
        <v>12.5</v>
      </c>
      <c r="C11" s="22" t="n">
        <v>92</v>
      </c>
      <c r="D11" s="22" t="n">
        <v>8100</v>
      </c>
      <c r="E11" s="5" t="n">
        <v>98.40000000000001</v>
      </c>
    </row>
    <row r="12">
      <c r="A12" s="7" t="n">
        <v>8</v>
      </c>
      <c r="B12" s="5" t="n">
        <v>11.8</v>
      </c>
      <c r="C12" s="22" t="n">
        <v>90</v>
      </c>
      <c r="D12" s="22" t="n">
        <v>7800</v>
      </c>
      <c r="E12" s="5" t="n">
        <v>94.09999999999999</v>
      </c>
    </row>
    <row r="13">
      <c r="A13" s="4" t="n">
        <v>9</v>
      </c>
      <c r="B13" s="5" t="n">
        <v>10.2</v>
      </c>
      <c r="C13" s="22" t="n">
        <v>78</v>
      </c>
      <c r="D13" s="22" t="n">
        <v>6600</v>
      </c>
      <c r="E13" s="5" t="n">
        <v>81.59999999999999</v>
      </c>
    </row>
    <row r="14">
      <c r="A14" s="7" t="n">
        <v>10</v>
      </c>
      <c r="B14" s="5" t="n">
        <v>8.699999999999999</v>
      </c>
      <c r="C14" s="22" t="n">
        <v>65</v>
      </c>
      <c r="D14" s="22" t="n">
        <v>5500</v>
      </c>
      <c r="E14" s="5" t="n">
        <v>69.3</v>
      </c>
    </row>
    <row r="15">
      <c r="A15" s="4" t="n">
        <v>11</v>
      </c>
      <c r="B15" s="5" t="n">
        <v>7.1</v>
      </c>
      <c r="C15" s="22" t="n">
        <v>48</v>
      </c>
      <c r="D15" s="22" t="n">
        <v>4400</v>
      </c>
      <c r="E15" s="5" t="n">
        <v>56.8</v>
      </c>
    </row>
    <row r="16">
      <c r="A16" s="7" t="n">
        <v>12</v>
      </c>
      <c r="B16" s="5" t="n">
        <v>9.5</v>
      </c>
      <c r="C16" s="22" t="n">
        <v>37</v>
      </c>
      <c r="D16" s="22" t="n">
        <v>6100</v>
      </c>
      <c r="E16" s="5" t="n">
        <v>76.2</v>
      </c>
    </row>
    <row r="17">
      <c r="A17" s="4" t="n">
        <v>13</v>
      </c>
      <c r="B17" s="5" t="n">
        <v>6</v>
      </c>
      <c r="C17" s="22" t="n">
        <v>38</v>
      </c>
      <c r="D17" s="22" t="n">
        <v>3500</v>
      </c>
      <c r="E17" s="5" t="n">
        <v>44.5</v>
      </c>
    </row>
    <row r="18">
      <c r="A18" s="7" t="n">
        <v>14</v>
      </c>
      <c r="B18" s="5" t="n">
        <v>6.8</v>
      </c>
      <c r="C18" s="22" t="n">
        <v>42</v>
      </c>
      <c r="D18" s="22" t="n">
        <v>4000</v>
      </c>
      <c r="E18" s="5" t="n">
        <v>52.1</v>
      </c>
    </row>
    <row r="19">
      <c r="A19" s="4" t="n">
        <v>15</v>
      </c>
      <c r="B19" s="5" t="n">
        <v>8.1</v>
      </c>
      <c r="C19" s="22" t="n">
        <v>55</v>
      </c>
      <c r="D19" s="22" t="n">
        <v>4700</v>
      </c>
      <c r="E19" s="5" t="n">
        <v>63.7</v>
      </c>
    </row>
    <row r="20">
      <c r="A20" s="7" t="n">
        <v>16</v>
      </c>
      <c r="B20" s="5" t="n">
        <v>9.4</v>
      </c>
      <c r="C20" s="22" t="n">
        <v>65</v>
      </c>
      <c r="D20" s="22" t="n">
        <v>5300</v>
      </c>
      <c r="E20" s="5" t="n">
        <v>74.8</v>
      </c>
    </row>
    <row r="21">
      <c r="A21" s="4" t="n">
        <v>17</v>
      </c>
      <c r="B21" s="5" t="n">
        <v>10.5</v>
      </c>
      <c r="C21" s="22" t="n">
        <v>76</v>
      </c>
      <c r="D21" s="22" t="n">
        <v>5800</v>
      </c>
      <c r="E21" s="5" t="n">
        <v>83.5</v>
      </c>
    </row>
    <row r="22">
      <c r="A22" s="7" t="n">
        <v>18</v>
      </c>
      <c r="B22" s="5" t="n">
        <v>12</v>
      </c>
      <c r="C22" s="22" t="n">
        <v>88</v>
      </c>
      <c r="D22" s="22" t="n">
        <v>7500</v>
      </c>
      <c r="E22" s="5" t="n">
        <v>95.2</v>
      </c>
    </row>
    <row r="23">
      <c r="A23" s="4" t="n">
        <v>19</v>
      </c>
      <c r="B23" s="5" t="n">
        <v>13.1</v>
      </c>
      <c r="C23" s="22" t="n">
        <v>94</v>
      </c>
      <c r="D23" s="22" t="n">
        <v>8400</v>
      </c>
      <c r="E23" s="5" t="n">
        <v>103.4</v>
      </c>
    </row>
    <row r="24">
      <c r="A24" s="7" t="n">
        <v>20</v>
      </c>
      <c r="B24" s="5" t="n">
        <v>12.3</v>
      </c>
      <c r="C24" s="22" t="n">
        <v>91</v>
      </c>
      <c r="D24" s="22" t="n">
        <v>8000</v>
      </c>
      <c r="E24" s="5" t="n">
        <v>97.8</v>
      </c>
    </row>
    <row r="25">
      <c r="A25" s="4" t="n">
        <v>21</v>
      </c>
      <c r="B25" s="5" t="n">
        <v>11</v>
      </c>
      <c r="C25" s="22" t="n">
        <v>80</v>
      </c>
      <c r="D25" s="22" t="n">
        <v>6800</v>
      </c>
      <c r="E25" s="5" t="n">
        <v>87.3</v>
      </c>
    </row>
    <row r="26">
      <c r="A26" s="7" t="n">
        <v>22</v>
      </c>
      <c r="B26" s="5" t="n">
        <v>9.199999999999999</v>
      </c>
      <c r="C26" s="22" t="n">
        <v>68</v>
      </c>
      <c r="D26" s="22" t="n">
        <v>5700</v>
      </c>
      <c r="E26" s="5" t="n">
        <v>73.2</v>
      </c>
    </row>
    <row r="27">
      <c r="A27" s="4" t="n">
        <v>23</v>
      </c>
      <c r="B27" s="5" t="n">
        <v>7.8</v>
      </c>
      <c r="C27" s="22" t="n">
        <v>50</v>
      </c>
      <c r="D27" s="22" t="n">
        <v>4500</v>
      </c>
      <c r="E27" s="5" t="n">
        <v>61.4</v>
      </c>
    </row>
    <row r="28">
      <c r="A28" s="7" t="n">
        <v>24</v>
      </c>
      <c r="B28" s="5" t="n">
        <v>10.2</v>
      </c>
      <c r="C28" s="22" t="n">
        <v>40</v>
      </c>
      <c r="D28" s="22" t="n">
        <v>6300</v>
      </c>
      <c r="E28" s="5" t="n">
        <v>80.90000000000001</v>
      </c>
    </row>
    <row r="30" ht="24" customHeight="1">
      <c r="A30" s="18" t="inlineStr">
        <is>
          <t>🔧 Run Multiple Regression with the ToolPak</t>
        </is>
      </c>
    </row>
    <row r="31" ht="18" customHeight="1">
      <c r="A31" s="19" t="inlineStr">
        <is>
          <t>1. Data → Data Analysis → Regression → OK</t>
        </is>
      </c>
    </row>
    <row r="32" ht="18" customHeight="1">
      <c r="A32" s="20" t="inlineStr">
        <is>
          <t>2. Input Y Range: E4:E28  (Revenue — what we want to predict)</t>
        </is>
      </c>
    </row>
    <row r="33" ht="18" customHeight="1">
      <c r="A33" s="19" t="inlineStr">
        <is>
          <t>3. Input X Range: B4:D28  (Ad Spend, Temp, AND Traffic — THREE predictors at once)</t>
        </is>
      </c>
    </row>
    <row r="34" ht="18" customHeight="1">
      <c r="A34" s="20" t="inlineStr">
        <is>
          <t xml:space="preserve">   ⚠️ For multiple regression, X must be a CONTIGUOUS block of columns</t>
        </is>
      </c>
    </row>
    <row r="35" ht="18" customHeight="1">
      <c r="A35" s="19" t="inlineStr">
        <is>
          <t>4. Check 'Labels in first row'</t>
        </is>
      </c>
    </row>
    <row r="36" ht="18" customHeight="1">
      <c r="A36" s="20" t="inlineStr">
        <is>
          <t>5. Output Range: new worksheet → click OK</t>
        </is>
      </c>
    </row>
    <row r="37" ht="18" customHeight="1">
      <c r="A37" s="19" t="inlineStr">
        <is>
          <t>6. Read the output:</t>
        </is>
      </c>
    </row>
    <row r="38" ht="18" customHeight="1">
      <c r="A38" s="20" t="inlineStr">
        <is>
          <t xml:space="preserve">   • R Square: how much of revenue variation all three predictors explain together</t>
        </is>
      </c>
    </row>
    <row r="39" ht="18" customHeight="1">
      <c r="A39" s="19" t="inlineStr">
        <is>
          <t xml:space="preserve">   • Coefficients: b₀ (intercept), b₁ (ad spend), b₂ (temp), b₃ (web traffic)</t>
        </is>
      </c>
    </row>
    <row r="40" ht="18" customHeight="1">
      <c r="A40" s="20" t="inlineStr">
        <is>
          <t xml:space="preserve">   • P-value &lt; 0.05: this predictor is statistically significant</t>
        </is>
      </c>
    </row>
    <row r="41" ht="18" customHeight="1">
      <c r="A41" s="19" t="inlineStr">
        <is>
          <t xml:space="preserve">   • Adjusted R Square: penalizes for adding predictors — better for comparison</t>
        </is>
      </c>
    </row>
    <row r="42" ht="18" customHeight="1">
      <c r="A42" s="20" t="inlineStr"/>
    </row>
    <row r="43" ht="18" customHeight="1">
      <c r="A43" s="19" t="inlineStr">
        <is>
          <t>📌 The equation becomes: Revenue = b₀ + b₁(AdSpend) + b₂(Temp) + b₃(Traffic)</t>
        </is>
      </c>
    </row>
    <row r="44" ht="18" customHeight="1">
      <c r="A44" s="20" t="inlineStr">
        <is>
          <t xml:space="preserve">   Plug in any scenario values for each predictor to get predicted revenue.</t>
        </is>
      </c>
    </row>
    <row r="45" ht="18" customHeight="1">
      <c r="A45" s="19" t="inlineStr"/>
    </row>
    <row r="46" ht="18" customHeight="1">
      <c r="A46" s="20" t="inlineStr">
        <is>
          <t>✏️ Practice: Run the regression with all 3 predictors. Then remove Temperature and run again.</t>
        </is>
      </c>
    </row>
    <row r="47" ht="18" customHeight="1">
      <c r="A47" s="19" t="inlineStr">
        <is>
          <t xml:space="preserve">   Did R² change significantly? Is Temperature a useful predictor?</t>
        </is>
      </c>
    </row>
  </sheetData>
  <mergeCells count="20">
    <mergeCell ref="A32:G32"/>
    <mergeCell ref="A35:G35"/>
    <mergeCell ref="A38:G38"/>
    <mergeCell ref="A43:G43"/>
    <mergeCell ref="A44:G44"/>
    <mergeCell ref="A40:G40"/>
    <mergeCell ref="A31:G31"/>
    <mergeCell ref="A39:G39"/>
    <mergeCell ref="A34:G34"/>
    <mergeCell ref="A30:G30"/>
    <mergeCell ref="A45:G45"/>
    <mergeCell ref="A36:G36"/>
    <mergeCell ref="A1:G1"/>
    <mergeCell ref="A41:G41"/>
    <mergeCell ref="A46:G46"/>
    <mergeCell ref="A37:G37"/>
    <mergeCell ref="A2:G2"/>
    <mergeCell ref="A33:G33"/>
    <mergeCell ref="A47:G47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2026-05-29T14:23:39Z</dcterms:created>
  <dcterms:modified xsi:type="dcterms:W3CDTF">2026-05-29T14:23:39Z</dcterms:modified>
</cp:coreProperties>
</file>