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_Basics" sheetId="1" state="visible" r:id="rId1"/>
    <sheet name="Correlat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"/>
    <numFmt numFmtId="165" formatCode="0.0000"/>
    <numFmt numFmtId="166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/>
    <font>
      <i val="1"/>
      <sz val="11"/>
    </font>
    <font>
      <b val="1"/>
      <sz val="11"/>
    </font>
    <font>
      <b val="1"/>
      <color rgb="00FFFFFF"/>
    </font>
    <font>
      <b val="1"/>
    </font>
    <font>
      <b val="1"/>
      <color rgb="00FFFFFF"/>
      <sz val="12"/>
    </font>
    <font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E2E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top" wrapText="1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/>
    </xf>
    <xf numFmtId="0" fontId="6" fillId="5" borderId="1" applyAlignment="1" pivotButton="0" quotePrefix="0" xfId="0">
      <alignment vertical="top" wrapText="1"/>
    </xf>
    <xf numFmtId="165" fontId="0" fillId="7" borderId="1" applyAlignment="1" pivotButton="0" quotePrefix="0" xfId="0">
      <alignment horizontal="center"/>
    </xf>
    <xf numFmtId="166" fontId="0" fillId="7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2" fillId="5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4" fillId="8" borderId="0" applyAlignment="1" pivotButton="0" quotePrefix="0" xfId="0">
      <alignment wrapText="1"/>
    </xf>
    <xf numFmtId="165" fontId="0" fillId="9" borderId="1" applyAlignment="1" pivotButton="0" quotePrefix="0" xfId="0">
      <alignment horizontal="center"/>
    </xf>
    <xf numFmtId="0" fontId="7" fillId="6" borderId="0" applyAlignment="1" pivotButton="0" quotePrefix="0" xfId="0">
      <alignment horizontal="left"/>
    </xf>
    <xf numFmtId="0" fontId="8" fillId="4" borderId="0" applyAlignment="1" pivotButton="0" quotePrefix="0" xfId="0">
      <alignment wrapText="1"/>
    </xf>
    <xf numFmtId="0" fontId="8" fillId="5" borderId="0" applyAlignment="1" pivotButton="0" quotePrefix="0" xfId="0">
      <alignment wrapText="1"/>
    </xf>
    <xf numFmtId="0" fontId="3" fillId="1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 ht="30" customHeight="1">
      <c r="A1" s="1" t="inlineStr">
        <is>
          <t>Correlation and Covariance — CORREL and COVARIANCE.S (Objectives 6 &amp; 7)</t>
        </is>
      </c>
    </row>
    <row r="2" ht="50" customHeight="1">
      <c r="A2" s="2" t="inlineStr">
        <is>
          <t>Correlation measures HOW STRONGLY two variables move together, on a scale from -1 to +1. Covariance also measures joint movement, but is in the original units (hard to interpret). The Pearson Correlation Coefficient (CORREL) standardizes covariance and is easier to read.</t>
        </is>
      </c>
    </row>
    <row r="4">
      <c r="A4" s="3" t="inlineStr">
        <is>
          <t>Month</t>
        </is>
      </c>
      <c r="B4" s="3" t="inlineStr">
        <is>
          <t>Ad Spend ($K)</t>
        </is>
      </c>
      <c r="C4" s="3" t="inlineStr">
        <is>
          <t>Revenue ($K)</t>
        </is>
      </c>
      <c r="D4" s="3" t="inlineStr">
        <is>
          <t>Temp (°F)</t>
        </is>
      </c>
      <c r="E4" s="3" t="inlineStr">
        <is>
          <t>Web Traffic</t>
        </is>
      </c>
      <c r="F4" s="3" t="inlineStr">
        <is>
          <t>Returns (#)</t>
        </is>
      </c>
      <c r="G4" s="4" t="inlineStr">
        <is>
          <t>← Dataset with multiple variables for correlation analysis</t>
        </is>
      </c>
    </row>
    <row r="5">
      <c r="A5" s="5" t="inlineStr">
        <is>
          <t>Jan</t>
        </is>
      </c>
      <c r="B5" s="6" t="n">
        <v>5.2</v>
      </c>
      <c r="C5" s="6" t="n">
        <v>42.1</v>
      </c>
      <c r="D5" s="5" t="n">
        <v>35</v>
      </c>
      <c r="E5" s="5" t="n">
        <v>3200</v>
      </c>
      <c r="F5" s="5" t="n">
        <v>12</v>
      </c>
    </row>
    <row r="6">
      <c r="A6" s="7" t="inlineStr">
        <is>
          <t>Feb</t>
        </is>
      </c>
      <c r="B6" s="8" t="n">
        <v>6.1</v>
      </c>
      <c r="C6" s="8" t="n">
        <v>48.3</v>
      </c>
      <c r="D6" s="7" t="n">
        <v>38</v>
      </c>
      <c r="E6" s="7" t="n">
        <v>3800</v>
      </c>
      <c r="F6" s="7" t="n">
        <v>15</v>
      </c>
    </row>
    <row r="7">
      <c r="A7" s="5" t="inlineStr">
        <is>
          <t>Mar</t>
        </is>
      </c>
      <c r="B7" s="6" t="n">
        <v>7.5</v>
      </c>
      <c r="C7" s="6" t="n">
        <v>58</v>
      </c>
      <c r="D7" s="5" t="n">
        <v>52</v>
      </c>
      <c r="E7" s="5" t="n">
        <v>4500</v>
      </c>
      <c r="F7" s="5" t="n">
        <v>18</v>
      </c>
    </row>
    <row r="8">
      <c r="A8" s="7" t="inlineStr">
        <is>
          <t>Apr</t>
        </is>
      </c>
      <c r="B8" s="8" t="n">
        <v>8.300000000000001</v>
      </c>
      <c r="C8" s="8" t="n">
        <v>65.2</v>
      </c>
      <c r="D8" s="7" t="n">
        <v>62</v>
      </c>
      <c r="E8" s="7" t="n">
        <v>5100</v>
      </c>
      <c r="F8" s="7" t="n">
        <v>20</v>
      </c>
    </row>
    <row r="9">
      <c r="A9" s="5" t="inlineStr">
        <is>
          <t>May</t>
        </is>
      </c>
      <c r="B9" s="6" t="n">
        <v>9</v>
      </c>
      <c r="C9" s="6" t="n">
        <v>72.09999999999999</v>
      </c>
      <c r="D9" s="5" t="n">
        <v>74</v>
      </c>
      <c r="E9" s="5" t="n">
        <v>5600</v>
      </c>
      <c r="F9" s="5" t="n">
        <v>22</v>
      </c>
    </row>
    <row r="10">
      <c r="A10" s="7" t="inlineStr">
        <is>
          <t>Jun</t>
        </is>
      </c>
      <c r="B10" s="8" t="n">
        <v>11.2</v>
      </c>
      <c r="C10" s="8" t="n">
        <v>88.90000000000001</v>
      </c>
      <c r="D10" s="7" t="n">
        <v>86</v>
      </c>
      <c r="E10" s="7" t="n">
        <v>7200</v>
      </c>
      <c r="F10" s="7" t="n">
        <v>30</v>
      </c>
    </row>
    <row r="11">
      <c r="A11" s="5" t="inlineStr">
        <is>
          <t>Jul</t>
        </is>
      </c>
      <c r="B11" s="6" t="n">
        <v>12.5</v>
      </c>
      <c r="C11" s="6" t="n">
        <v>98.40000000000001</v>
      </c>
      <c r="D11" s="5" t="n">
        <v>92</v>
      </c>
      <c r="E11" s="5" t="n">
        <v>8100</v>
      </c>
      <c r="F11" s="5" t="n">
        <v>35</v>
      </c>
    </row>
    <row r="12">
      <c r="A12" s="7" t="inlineStr">
        <is>
          <t>Aug</t>
        </is>
      </c>
      <c r="B12" s="8" t="n">
        <v>11.8</v>
      </c>
      <c r="C12" s="8" t="n">
        <v>94.09999999999999</v>
      </c>
      <c r="D12" s="7" t="n">
        <v>90</v>
      </c>
      <c r="E12" s="7" t="n">
        <v>7800</v>
      </c>
      <c r="F12" s="7" t="n">
        <v>33</v>
      </c>
    </row>
    <row r="13">
      <c r="A13" s="5" t="inlineStr">
        <is>
          <t>Sep</t>
        </is>
      </c>
      <c r="B13" s="6" t="n">
        <v>10.2</v>
      </c>
      <c r="C13" s="6" t="n">
        <v>81.59999999999999</v>
      </c>
      <c r="D13" s="5" t="n">
        <v>78</v>
      </c>
      <c r="E13" s="5" t="n">
        <v>6600</v>
      </c>
      <c r="F13" s="5" t="n">
        <v>28</v>
      </c>
    </row>
    <row r="14">
      <c r="A14" s="7" t="inlineStr">
        <is>
          <t>Oct</t>
        </is>
      </c>
      <c r="B14" s="8" t="n">
        <v>8.699999999999999</v>
      </c>
      <c r="C14" s="8" t="n">
        <v>69.3</v>
      </c>
      <c r="D14" s="7" t="n">
        <v>65</v>
      </c>
      <c r="E14" s="7" t="n">
        <v>5500</v>
      </c>
      <c r="F14" s="7" t="n">
        <v>23</v>
      </c>
    </row>
    <row r="15">
      <c r="A15" s="5" t="inlineStr">
        <is>
          <t>Nov</t>
        </is>
      </c>
      <c r="B15" s="6" t="n">
        <v>7.1</v>
      </c>
      <c r="C15" s="6" t="n">
        <v>56.8</v>
      </c>
      <c r="D15" s="5" t="n">
        <v>48</v>
      </c>
      <c r="E15" s="5" t="n">
        <v>4400</v>
      </c>
      <c r="F15" s="5" t="n">
        <v>17</v>
      </c>
    </row>
    <row r="16">
      <c r="A16" s="7" t="inlineStr">
        <is>
          <t>Dec</t>
        </is>
      </c>
      <c r="B16" s="8" t="n">
        <v>9.5</v>
      </c>
      <c r="C16" s="8" t="n">
        <v>76.2</v>
      </c>
      <c r="D16" s="7" t="n">
        <v>37</v>
      </c>
      <c r="E16" s="7" t="n">
        <v>6100</v>
      </c>
      <c r="F16" s="7" t="n">
        <v>24</v>
      </c>
    </row>
    <row r="18" ht="24" customHeight="1">
      <c r="A18" s="9" t="inlineStr">
        <is>
          <t>Statistical Analysis</t>
        </is>
      </c>
    </row>
    <row r="19">
      <c r="A19" s="3" t="inlineStr">
        <is>
          <t>Measure</t>
        </is>
      </c>
      <c r="B19" s="3" t="inlineStr">
        <is>
          <t>Ad Spend vs Revenue</t>
        </is>
      </c>
      <c r="C19" s="3" t="inlineStr">
        <is>
          <t>Ad Spend vs Traffic</t>
        </is>
      </c>
      <c r="D19" s="3" t="inlineStr">
        <is>
          <t>Temp vs Revenue</t>
        </is>
      </c>
      <c r="E19" s="3" t="inlineStr">
        <is>
          <t>Temp vs Returns</t>
        </is>
      </c>
      <c r="F19" s="3" t="inlineStr">
        <is>
          <t>Revenue vs Returns</t>
        </is>
      </c>
    </row>
    <row r="20">
      <c r="A20" s="10" t="inlineStr">
        <is>
          <t>COVARIANCE.S</t>
        </is>
      </c>
      <c r="B20" s="11">
        <f>COVARIANCE.S(B5:B16,C5:C16)</f>
        <v/>
      </c>
      <c r="C20" s="11">
        <f>COVARIANCE.S(B5:B16,E5:E16)</f>
        <v/>
      </c>
      <c r="D20" s="11">
        <f>COVARIANCE.S(D5:D16,C5:C16)</f>
        <v/>
      </c>
      <c r="E20" s="11">
        <f>COVARIANCE.S(D5:D16,F5:F16)</f>
        <v/>
      </c>
      <c r="F20" s="11">
        <f>COVARIANCE.S(C5:C16,F5:F16)</f>
        <v/>
      </c>
    </row>
    <row r="21">
      <c r="A21" s="12" t="inlineStr">
        <is>
          <t>CORREL (Pearson r)</t>
        </is>
      </c>
      <c r="B21" s="13">
        <f>CORREL(B5:B16,C5:C16)</f>
        <v/>
      </c>
      <c r="C21" s="13">
        <f>CORREL(B5:B16,E5:E16)</f>
        <v/>
      </c>
      <c r="D21" s="13">
        <f>CORREL(D5:D16,C5:C16)</f>
        <v/>
      </c>
      <c r="E21" s="13">
        <f>CORREL(D5:D16,F5:F16)</f>
        <v/>
      </c>
      <c r="F21" s="13">
        <f>CORREL(C5:C16,F5:F16)</f>
        <v/>
      </c>
    </row>
    <row r="22">
      <c r="A22" s="10" t="inlineStr">
        <is>
          <t>R-Squared (r²)</t>
        </is>
      </c>
      <c r="B22" s="14">
        <f>CORREL(B5:B16,C5:C16)^2</f>
        <v/>
      </c>
      <c r="C22" s="14">
        <f>CORREL(B5:B16,E5:E16)^2</f>
        <v/>
      </c>
      <c r="D22" s="14">
        <f>CORREL(D5:D16,C5:C16)^2</f>
        <v/>
      </c>
      <c r="E22" s="14">
        <f>CORREL(D5:D16,F5:F16)^2</f>
        <v/>
      </c>
      <c r="F22" s="14">
        <f>CORREL(C5:C16,F5:F16)^2</f>
        <v/>
      </c>
    </row>
    <row r="24" ht="24" customHeight="1">
      <c r="A24" s="9" t="inlineStr">
        <is>
          <t>How to Interpret the Correlation Coefficient (r)</t>
        </is>
      </c>
    </row>
    <row r="25">
      <c r="A25" s="3" t="inlineStr">
        <is>
          <t>r Range</t>
        </is>
      </c>
      <c r="B25" s="3" t="inlineStr">
        <is>
          <t>Strength &amp; Direction</t>
        </is>
      </c>
      <c r="C25" s="15" t="inlineStr">
        <is>
          <t>What It Means</t>
        </is>
      </c>
      <c r="D25" s="16" t="n"/>
      <c r="F25" s="17" t="inlineStr">
        <is>
          <t>Example</t>
        </is>
      </c>
    </row>
    <row r="26">
      <c r="A26" s="18" t="inlineStr">
        <is>
          <t>+0.90 to +1.00</t>
        </is>
      </c>
      <c r="B26" s="19" t="inlineStr">
        <is>
          <t>Very Strong Positive</t>
        </is>
      </c>
      <c r="C26" s="20" t="inlineStr">
        <is>
          <t>As X increases, Y almost always increases proportionally.</t>
        </is>
      </c>
      <c r="D26" s="16" t="n"/>
      <c r="F26" s="4" t="inlineStr">
        <is>
          <t>Ad spend &amp; revenue — reliable predictor.</t>
        </is>
      </c>
    </row>
    <row r="27">
      <c r="A27" s="21" t="inlineStr">
        <is>
          <t>+0.70 to +0.89</t>
        </is>
      </c>
      <c r="B27" s="22" t="inlineStr">
        <is>
          <t>Strong Positive</t>
        </is>
      </c>
      <c r="C27" s="23" t="inlineStr">
        <is>
          <t>Clear positive relationship with some scatter.</t>
        </is>
      </c>
      <c r="D27" s="16" t="n"/>
      <c r="F27" s="24" t="inlineStr">
        <is>
          <t>Temperature &amp; traffic.</t>
        </is>
      </c>
    </row>
    <row r="28">
      <c r="A28" s="18" t="inlineStr">
        <is>
          <t>+0.40 to +0.69</t>
        </is>
      </c>
      <c r="B28" s="19" t="inlineStr">
        <is>
          <t>Moderate Positive</t>
        </is>
      </c>
      <c r="C28" s="20" t="inlineStr">
        <is>
          <t>Some relationship, but other factors matter too.</t>
        </is>
      </c>
      <c r="D28" s="16" t="n"/>
      <c r="F28" s="4" t="inlineStr">
        <is>
          <t>Web visits &amp; sales.</t>
        </is>
      </c>
    </row>
    <row r="29">
      <c r="A29" s="21" t="inlineStr">
        <is>
          <t>+0.00 to +0.39</t>
        </is>
      </c>
      <c r="B29" s="22" t="inlineStr">
        <is>
          <t>Weak or No Positive</t>
        </is>
      </c>
      <c r="C29" s="23" t="inlineStr">
        <is>
          <t>Very little linear relationship.</t>
        </is>
      </c>
      <c r="D29" s="16" t="n"/>
      <c r="F29" s="24" t="inlineStr">
        <is>
          <t>Shoe size &amp; test scores.</t>
        </is>
      </c>
    </row>
    <row r="30">
      <c r="A30" s="18" t="inlineStr">
        <is>
          <t>-0.40 to -0.69</t>
        </is>
      </c>
      <c r="B30" s="19" t="inlineStr">
        <is>
          <t>Moderate Negative</t>
        </is>
      </c>
      <c r="C30" s="20" t="inlineStr">
        <is>
          <t>As X increases, Y tends to decrease.</t>
        </is>
      </c>
      <c r="D30" s="16" t="n"/>
      <c r="F30" s="4" t="inlineStr">
        <is>
          <t>Price &amp; quantity demanded.</t>
        </is>
      </c>
    </row>
    <row r="31">
      <c r="A31" s="21" t="inlineStr">
        <is>
          <t>-0.70 to -0.89</t>
        </is>
      </c>
      <c r="B31" s="22" t="inlineStr">
        <is>
          <t>Strong Negative</t>
        </is>
      </c>
      <c r="C31" s="23" t="inlineStr">
        <is>
          <t>Clear negative relationship.</t>
        </is>
      </c>
      <c r="D31" s="16" t="n"/>
      <c r="F31" s="24" t="inlineStr">
        <is>
          <t>Study time &amp; exam errors.</t>
        </is>
      </c>
    </row>
    <row r="32">
      <c r="A32" s="18" t="inlineStr">
        <is>
          <t>-1.00 to -0.90</t>
        </is>
      </c>
      <c r="B32" s="19" t="inlineStr">
        <is>
          <t>Very Strong Negative</t>
        </is>
      </c>
      <c r="C32" s="20" t="inlineStr">
        <is>
          <t>Almost perfect inverse relationship.</t>
        </is>
      </c>
      <c r="D32" s="16" t="n"/>
      <c r="F32" s="4" t="inlineStr">
        <is>
          <t>Hours worked &amp; time available.</t>
        </is>
      </c>
    </row>
    <row r="35" ht="40" customHeight="1">
      <c r="A35" s="25" t="inlineStr">
        <is>
          <t>⚠️ IMPORTANT: Correlation does NOT equal causation! Two variables can be strongly correlated by coincidence, by a third variable (confounder), or by chance. Always think critically about WHY variables might be correlated.</t>
        </is>
      </c>
    </row>
  </sheetData>
  <mergeCells count="21">
    <mergeCell ref="F29:G29"/>
    <mergeCell ref="C31:E31"/>
    <mergeCell ref="F25:G25"/>
    <mergeCell ref="A35:G35"/>
    <mergeCell ref="A18:F18"/>
    <mergeCell ref="F30:G30"/>
    <mergeCell ref="C27:E27"/>
    <mergeCell ref="A24:G24"/>
    <mergeCell ref="F32:G32"/>
    <mergeCell ref="F26:G26"/>
    <mergeCell ref="C32:E32"/>
    <mergeCell ref="C28:E28"/>
    <mergeCell ref="A1:G1"/>
    <mergeCell ref="F31:G31"/>
    <mergeCell ref="F28:G28"/>
    <mergeCell ref="C30:E30"/>
    <mergeCell ref="F27:G27"/>
    <mergeCell ref="A2:G2"/>
    <mergeCell ref="C26:E26"/>
    <mergeCell ref="C29:E29"/>
    <mergeCell ref="C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0" customWidth="1" min="8" max="8"/>
  </cols>
  <sheetData>
    <row r="1" ht="30" customHeight="1">
      <c r="A1" s="1" t="inlineStr">
        <is>
          <t>Correlation Matrix — All Variable Pairs at Once (Objective 7)</t>
        </is>
      </c>
    </row>
    <row r="2" ht="50" customHeight="1">
      <c r="A2" s="2" t="inlineStr">
        <is>
          <t>A correlation matrix shows the correlation between EVERY pair of variables at once. Diagonal = 1.0 (variable with itself). The matrix is symmetric — the upper and lower triangles are mirror images. Use the Analysis ToolPak Correlation tool to generate this automatically.</t>
        </is>
      </c>
    </row>
    <row r="4">
      <c r="A4" s="3" t="inlineStr">
        <is>
          <t>Month</t>
        </is>
      </c>
      <c r="B4" s="3" t="inlineStr">
        <is>
          <t>Ad Spend</t>
        </is>
      </c>
      <c r="C4" s="3" t="inlineStr">
        <is>
          <t>Revenue</t>
        </is>
      </c>
      <c r="D4" s="3" t="inlineStr">
        <is>
          <t>Temperature</t>
        </is>
      </c>
      <c r="E4" s="3" t="inlineStr">
        <is>
          <t>Web Traffic</t>
        </is>
      </c>
      <c r="F4" s="3" t="inlineStr">
        <is>
          <t>Returns</t>
        </is>
      </c>
    </row>
    <row r="5">
      <c r="A5" s="5" t="inlineStr">
        <is>
          <t>Jan</t>
        </is>
      </c>
      <c r="B5" s="5" t="n">
        <v>5.2</v>
      </c>
      <c r="C5" s="5" t="n">
        <v>42.1</v>
      </c>
      <c r="D5" s="5" t="n">
        <v>35</v>
      </c>
      <c r="E5" s="5" t="n">
        <v>3200</v>
      </c>
      <c r="F5" s="5" t="n">
        <v>12</v>
      </c>
    </row>
    <row r="6">
      <c r="A6" s="7" t="inlineStr">
        <is>
          <t>Feb</t>
        </is>
      </c>
      <c r="B6" s="7" t="n">
        <v>6.1</v>
      </c>
      <c r="C6" s="7" t="n">
        <v>48.3</v>
      </c>
      <c r="D6" s="7" t="n">
        <v>38</v>
      </c>
      <c r="E6" s="7" t="n">
        <v>3800</v>
      </c>
      <c r="F6" s="7" t="n">
        <v>15</v>
      </c>
    </row>
    <row r="7">
      <c r="A7" s="5" t="inlineStr">
        <is>
          <t>Mar</t>
        </is>
      </c>
      <c r="B7" s="5" t="n">
        <v>7.5</v>
      </c>
      <c r="C7" s="5" t="n">
        <v>58</v>
      </c>
      <c r="D7" s="5" t="n">
        <v>52</v>
      </c>
      <c r="E7" s="5" t="n">
        <v>4500</v>
      </c>
      <c r="F7" s="5" t="n">
        <v>18</v>
      </c>
    </row>
    <row r="8">
      <c r="A8" s="7" t="inlineStr">
        <is>
          <t>Apr</t>
        </is>
      </c>
      <c r="B8" s="7" t="n">
        <v>8.300000000000001</v>
      </c>
      <c r="C8" s="7" t="n">
        <v>65.2</v>
      </c>
      <c r="D8" s="7" t="n">
        <v>62</v>
      </c>
      <c r="E8" s="7" t="n">
        <v>5100</v>
      </c>
      <c r="F8" s="7" t="n">
        <v>20</v>
      </c>
    </row>
    <row r="9">
      <c r="A9" s="5" t="inlineStr">
        <is>
          <t>May</t>
        </is>
      </c>
      <c r="B9" s="5" t="n">
        <v>9</v>
      </c>
      <c r="C9" s="5" t="n">
        <v>72.09999999999999</v>
      </c>
      <c r="D9" s="5" t="n">
        <v>74</v>
      </c>
      <c r="E9" s="5" t="n">
        <v>5600</v>
      </c>
      <c r="F9" s="5" t="n">
        <v>22</v>
      </c>
    </row>
    <row r="10">
      <c r="A10" s="7" t="inlineStr">
        <is>
          <t>Jun</t>
        </is>
      </c>
      <c r="B10" s="7" t="n">
        <v>11.2</v>
      </c>
      <c r="C10" s="7" t="n">
        <v>88.90000000000001</v>
      </c>
      <c r="D10" s="7" t="n">
        <v>86</v>
      </c>
      <c r="E10" s="7" t="n">
        <v>7200</v>
      </c>
      <c r="F10" s="7" t="n">
        <v>30</v>
      </c>
    </row>
    <row r="11">
      <c r="A11" s="5" t="inlineStr">
        <is>
          <t>Jul</t>
        </is>
      </c>
      <c r="B11" s="5" t="n">
        <v>12.5</v>
      </c>
      <c r="C11" s="5" t="n">
        <v>98.40000000000001</v>
      </c>
      <c r="D11" s="5" t="n">
        <v>92</v>
      </c>
      <c r="E11" s="5" t="n">
        <v>8100</v>
      </c>
      <c r="F11" s="5" t="n">
        <v>35</v>
      </c>
    </row>
    <row r="12">
      <c r="A12" s="7" t="inlineStr">
        <is>
          <t>Aug</t>
        </is>
      </c>
      <c r="B12" s="7" t="n">
        <v>11.8</v>
      </c>
      <c r="C12" s="7" t="n">
        <v>94.09999999999999</v>
      </c>
      <c r="D12" s="7" t="n">
        <v>90</v>
      </c>
      <c r="E12" s="7" t="n">
        <v>7800</v>
      </c>
      <c r="F12" s="7" t="n">
        <v>33</v>
      </c>
    </row>
    <row r="13">
      <c r="A13" s="5" t="inlineStr">
        <is>
          <t>Sep</t>
        </is>
      </c>
      <c r="B13" s="5" t="n">
        <v>10.2</v>
      </c>
      <c r="C13" s="5" t="n">
        <v>81.59999999999999</v>
      </c>
      <c r="D13" s="5" t="n">
        <v>78</v>
      </c>
      <c r="E13" s="5" t="n">
        <v>6600</v>
      </c>
      <c r="F13" s="5" t="n">
        <v>28</v>
      </c>
    </row>
    <row r="14">
      <c r="A14" s="7" t="inlineStr">
        <is>
          <t>Oct</t>
        </is>
      </c>
      <c r="B14" s="7" t="n">
        <v>8.699999999999999</v>
      </c>
      <c r="C14" s="7" t="n">
        <v>69.3</v>
      </c>
      <c r="D14" s="7" t="n">
        <v>65</v>
      </c>
      <c r="E14" s="7" t="n">
        <v>5500</v>
      </c>
      <c r="F14" s="7" t="n">
        <v>23</v>
      </c>
    </row>
    <row r="15">
      <c r="A15" s="5" t="inlineStr">
        <is>
          <t>Nov</t>
        </is>
      </c>
      <c r="B15" s="5" t="n">
        <v>7.1</v>
      </c>
      <c r="C15" s="5" t="n">
        <v>56.8</v>
      </c>
      <c r="D15" s="5" t="n">
        <v>48</v>
      </c>
      <c r="E15" s="5" t="n">
        <v>4400</v>
      </c>
      <c r="F15" s="5" t="n">
        <v>17</v>
      </c>
    </row>
    <row r="16">
      <c r="A16" s="7" t="inlineStr">
        <is>
          <t>Dec</t>
        </is>
      </c>
      <c r="B16" s="7" t="n">
        <v>9.5</v>
      </c>
      <c r="C16" s="7" t="n">
        <v>76.2</v>
      </c>
      <c r="D16" s="7" t="n">
        <v>37</v>
      </c>
      <c r="E16" s="7" t="n">
        <v>6100</v>
      </c>
      <c r="F16" s="7" t="n">
        <v>24</v>
      </c>
    </row>
    <row r="18" ht="24" customHeight="1">
      <c r="A18" s="9" t="inlineStr">
        <is>
          <t>Correlation Matrix (r values)</t>
        </is>
      </c>
    </row>
    <row r="19">
      <c r="A19" s="3" t="inlineStr"/>
      <c r="B19" s="3" t="inlineStr">
        <is>
          <t>Ad Spend</t>
        </is>
      </c>
      <c r="C19" s="3" t="inlineStr">
        <is>
          <t>Revenue</t>
        </is>
      </c>
      <c r="D19" s="3" t="inlineStr">
        <is>
          <t>Temperature</t>
        </is>
      </c>
      <c r="E19" s="3" t="inlineStr">
        <is>
          <t>Web Traffic</t>
        </is>
      </c>
      <c r="F19" s="3" t="inlineStr">
        <is>
          <t>Returns</t>
        </is>
      </c>
    </row>
    <row r="20" ht="20" customHeight="1">
      <c r="A20" s="10" t="inlineStr">
        <is>
          <t>Ad Spend</t>
        </is>
      </c>
      <c r="B20" s="26" t="n">
        <v>1</v>
      </c>
      <c r="C20" s="13">
        <f>CORREL(B5:B16,C5:C16)</f>
        <v/>
      </c>
      <c r="D20" s="13">
        <f>CORREL(B5:B16,D5:D16)</f>
        <v/>
      </c>
      <c r="E20" s="13">
        <f>CORREL(B5:B16,E5:E16)</f>
        <v/>
      </c>
      <c r="F20" s="13">
        <f>CORREL(B5:B16,F5:F16)</f>
        <v/>
      </c>
    </row>
    <row r="21" ht="20" customHeight="1">
      <c r="A21" s="10" t="inlineStr">
        <is>
          <t>Revenue</t>
        </is>
      </c>
      <c r="B21" s="13">
        <f>CORREL(C5:C16,B5:B16)</f>
        <v/>
      </c>
      <c r="C21" s="26" t="n">
        <v>1</v>
      </c>
      <c r="D21" s="13">
        <f>CORREL(C5:C16,D5:D16)</f>
        <v/>
      </c>
      <c r="E21" s="13">
        <f>CORREL(C5:C16,E5:E16)</f>
        <v/>
      </c>
      <c r="F21" s="13">
        <f>CORREL(C5:C16,F5:F16)</f>
        <v/>
      </c>
    </row>
    <row r="22" ht="20" customHeight="1">
      <c r="A22" s="10" t="inlineStr">
        <is>
          <t>Temperature</t>
        </is>
      </c>
      <c r="B22" s="13">
        <f>CORREL(D5:D16,B5:B16)</f>
        <v/>
      </c>
      <c r="C22" s="13">
        <f>CORREL(D5:D16,C5:C16)</f>
        <v/>
      </c>
      <c r="D22" s="26" t="n">
        <v>1</v>
      </c>
      <c r="E22" s="13">
        <f>CORREL(D5:D16,E5:E16)</f>
        <v/>
      </c>
      <c r="F22" s="13">
        <f>CORREL(D5:D16,F5:F16)</f>
        <v/>
      </c>
    </row>
    <row r="23" ht="20" customHeight="1">
      <c r="A23" s="10" t="inlineStr">
        <is>
          <t>Web Traffic</t>
        </is>
      </c>
      <c r="B23" s="13">
        <f>CORREL(E5:E16,B5:B16)</f>
        <v/>
      </c>
      <c r="C23" s="13">
        <f>CORREL(E5:E16,C5:C16)</f>
        <v/>
      </c>
      <c r="D23" s="13">
        <f>CORREL(E5:E16,D5:D16)</f>
        <v/>
      </c>
      <c r="E23" s="26" t="n">
        <v>1</v>
      </c>
      <c r="F23" s="13">
        <f>CORREL(E5:E16,F5:F16)</f>
        <v/>
      </c>
    </row>
    <row r="24" ht="20" customHeight="1">
      <c r="A24" s="10" t="inlineStr">
        <is>
          <t>Returns</t>
        </is>
      </c>
      <c r="B24" s="13">
        <f>CORREL(F5:F16,B5:B16)</f>
        <v/>
      </c>
      <c r="C24" s="13">
        <f>CORREL(F5:F16,C5:C16)</f>
        <v/>
      </c>
      <c r="D24" s="13">
        <f>CORREL(F5:F16,D5:D16)</f>
        <v/>
      </c>
      <c r="E24" s="13">
        <f>CORREL(F5:F16,E5:E16)</f>
        <v/>
      </c>
      <c r="F24" s="26" t="n">
        <v>1</v>
      </c>
    </row>
    <row r="27">
      <c r="A27" s="27" t="inlineStr">
        <is>
          <t>🔧 Generate This Automatically with Analysis ToolPak:</t>
        </is>
      </c>
    </row>
    <row r="28" ht="20" customHeight="1">
      <c r="A28" s="28" t="inlineStr">
        <is>
          <t>1. Click the Data tab → Data Analysis</t>
        </is>
      </c>
    </row>
    <row r="29" ht="20" customHeight="1">
      <c r="A29" s="29" t="inlineStr">
        <is>
          <t>2. Select 'Correlation' → OK</t>
        </is>
      </c>
    </row>
    <row r="30" ht="20" customHeight="1">
      <c r="A30" s="28" t="inlineStr">
        <is>
          <t>3. Input Range: select B4:F16 (include headers)</t>
        </is>
      </c>
    </row>
    <row r="31" ht="20" customHeight="1">
      <c r="A31" s="29" t="inlineStr">
        <is>
          <t>4. Check 'Labels in First Row'</t>
        </is>
      </c>
    </row>
    <row r="32" ht="20" customHeight="1">
      <c r="A32" s="28" t="inlineStr">
        <is>
          <t>5. Output Range: select a new area (e.g., H19)</t>
        </is>
      </c>
    </row>
    <row r="33" ht="20" customHeight="1">
      <c r="A33" s="29" t="inlineStr">
        <is>
          <t>6. Click OK — Excel generates the full matrix automatically</t>
        </is>
      </c>
    </row>
    <row r="35" ht="40" customHeight="1">
      <c r="A35" s="30" t="inlineStr">
        <is>
          <t>✏️ Practice: Look at the matrix above. Which two variables have the strongest positive relationship? The weakest? Is any relationship surprisingly strong or weak? What business insights does this reveal?</t>
        </is>
      </c>
    </row>
  </sheetData>
  <mergeCells count="11">
    <mergeCell ref="A30:H30"/>
    <mergeCell ref="A29:H29"/>
    <mergeCell ref="A35:H35"/>
    <mergeCell ref="A2:H2"/>
    <mergeCell ref="A28:H28"/>
    <mergeCell ref="A33:H33"/>
    <mergeCell ref="A18:F18"/>
    <mergeCell ref="A1:H1"/>
    <mergeCell ref="A32:H32"/>
    <mergeCell ref="A27:H27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2026-05-29T14:22:12Z</dcterms:created>
  <dcterms:modified xsi:type="dcterms:W3CDTF">2026-05-29T14:22:12Z</dcterms:modified>
</cp:coreProperties>
</file>