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Manual_Statistics" sheetId="2" state="visible" r:id="rId2"/>
    <sheet name="ToolPak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DD, YYYY"/>
    <numFmt numFmtId="166" formatCode="&quot;$&quot;#,##0"/>
    <numFmt numFmtId="167" formatCode="&quot;$&quot;#,##0.0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</font>
    <font/>
    <font>
      <i val="1"/>
    </font>
    <font>
      <b val="1"/>
      <color rgb="00FFFFFF"/>
    </font>
    <font>
      <sz val="11"/>
    </font>
    <font>
      <i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7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66" fontId="0" fillId="5" borderId="1" applyAlignment="1" pivotButton="0" quotePrefix="0" xfId="0">
      <alignment horizontal="center"/>
    </xf>
    <xf numFmtId="167" fontId="0" fillId="5" borderId="1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/>
    </xf>
    <xf numFmtId="0" fontId="4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6" fontId="0" fillId="6" borderId="1" applyAlignment="1" pivotButton="0" quotePrefix="0" xfId="0">
      <alignment horizontal="center"/>
    </xf>
    <xf numFmtId="0" fontId="4" fillId="5" borderId="1" applyAlignment="1" pivotButton="0" quotePrefix="0" xfId="0">
      <alignment vertical="center" wrapText="1"/>
    </xf>
    <xf numFmtId="10" fontId="0" fillId="6" borderId="1" applyAlignment="1" pivotButton="0" quotePrefix="0" xfId="0">
      <alignment horizontal="center"/>
    </xf>
    <xf numFmtId="0" fontId="5" fillId="7" borderId="0" applyAlignment="1" pivotButton="0" quotePrefix="0" xfId="0">
      <alignment wrapText="1"/>
    </xf>
    <xf numFmtId="0" fontId="5" fillId="3" borderId="0" applyAlignment="1" pivotButton="0" quotePrefix="0" xfId="0">
      <alignment wrapText="1"/>
    </xf>
    <xf numFmtId="0" fontId="6" fillId="8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Retail Store — Daily Sales Data (60 Days)</t>
        </is>
      </c>
    </row>
    <row r="2">
      <c r="A2" s="2" t="inlineStr">
        <is>
          <t>Day</t>
        </is>
      </c>
      <c r="B2" s="2" t="inlineStr">
        <is>
          <t>Date</t>
        </is>
      </c>
      <c r="C2" s="2" t="inlineStr">
        <is>
          <t>Store A Sales</t>
        </is>
      </c>
      <c r="D2" s="2" t="inlineStr">
        <is>
          <t>Store B Sales</t>
        </is>
      </c>
      <c r="E2" s="2" t="inlineStr">
        <is>
          <t>Total Units Sold</t>
        </is>
      </c>
      <c r="F2" s="2" t="inlineStr">
        <is>
          <t>Avg Transaction ($)</t>
        </is>
      </c>
      <c r="G2" s="2" t="inlineStr">
        <is>
          <t>Returns (#)</t>
        </is>
      </c>
    </row>
    <row r="3">
      <c r="A3" s="3" t="n">
        <v>1</v>
      </c>
      <c r="B3" s="4" t="n">
        <v>45293</v>
      </c>
      <c r="C3" s="5" t="n">
        <v>8438</v>
      </c>
      <c r="D3" s="5" t="n">
        <v>3445</v>
      </c>
      <c r="E3" s="3" t="n">
        <v>141</v>
      </c>
      <c r="F3" s="6" t="n">
        <v>89.54000000000001</v>
      </c>
      <c r="G3" s="3" t="n">
        <v>1</v>
      </c>
    </row>
    <row r="4">
      <c r="A4" s="7" t="n">
        <v>2</v>
      </c>
      <c r="B4" s="8" t="n">
        <v>45294</v>
      </c>
      <c r="C4" s="9" t="n">
        <v>4112</v>
      </c>
      <c r="D4" s="9" t="n">
        <v>7322</v>
      </c>
      <c r="E4" s="7" t="n">
        <v>157</v>
      </c>
      <c r="F4" s="10" t="n">
        <v>68.13</v>
      </c>
      <c r="G4" s="7" t="n">
        <v>12</v>
      </c>
    </row>
    <row r="5">
      <c r="A5" s="3" t="n">
        <v>3</v>
      </c>
      <c r="B5" s="4" t="n">
        <v>45295</v>
      </c>
      <c r="C5" s="5" t="n">
        <v>3404</v>
      </c>
      <c r="D5" s="5" t="n">
        <v>5201</v>
      </c>
      <c r="E5" s="3" t="n">
        <v>76</v>
      </c>
      <c r="F5" s="6" t="n">
        <v>60.74</v>
      </c>
      <c r="G5" s="3" t="n">
        <v>10</v>
      </c>
    </row>
    <row r="6">
      <c r="A6" s="7" t="n">
        <v>4</v>
      </c>
      <c r="B6" s="8" t="n">
        <v>45296</v>
      </c>
      <c r="C6" s="9" t="n">
        <v>9274</v>
      </c>
      <c r="D6" s="9" t="n">
        <v>7949</v>
      </c>
      <c r="E6" s="7" t="n">
        <v>107</v>
      </c>
      <c r="F6" s="10" t="n">
        <v>35.5</v>
      </c>
      <c r="G6" s="7" t="n">
        <v>3</v>
      </c>
    </row>
    <row r="7">
      <c r="A7" s="3" t="n">
        <v>5</v>
      </c>
      <c r="B7" s="4" t="n">
        <v>45297</v>
      </c>
      <c r="C7" s="5" t="n">
        <v>5453</v>
      </c>
      <c r="D7" s="5" t="n">
        <v>7866</v>
      </c>
      <c r="E7" s="3" t="n">
        <v>75</v>
      </c>
      <c r="F7" s="6" t="n">
        <v>52.32</v>
      </c>
      <c r="G7" s="3" t="n">
        <v>7</v>
      </c>
    </row>
    <row r="8">
      <c r="A8" s="7" t="n">
        <v>6</v>
      </c>
      <c r="B8" s="8" t="n">
        <v>45298</v>
      </c>
      <c r="C8" s="9" t="n">
        <v>5206</v>
      </c>
      <c r="D8" s="9" t="n">
        <v>5762</v>
      </c>
      <c r="E8" s="7" t="n">
        <v>103</v>
      </c>
      <c r="F8" s="10" t="n">
        <v>94.02</v>
      </c>
      <c r="G8" s="7" t="n">
        <v>6</v>
      </c>
    </row>
    <row r="9">
      <c r="A9" s="3" t="n">
        <v>7</v>
      </c>
      <c r="B9" s="4" t="n">
        <v>45299</v>
      </c>
      <c r="C9" s="5" t="n">
        <v>5028</v>
      </c>
      <c r="D9" s="5" t="n">
        <v>7529</v>
      </c>
      <c r="E9" s="3" t="n">
        <v>183</v>
      </c>
      <c r="F9" s="6" t="n">
        <v>82.05</v>
      </c>
      <c r="G9" s="3" t="n">
        <v>6</v>
      </c>
    </row>
    <row r="10">
      <c r="A10" s="7" t="n">
        <v>8</v>
      </c>
      <c r="B10" s="8" t="n">
        <v>45300</v>
      </c>
      <c r="C10" s="9" t="n">
        <v>4343</v>
      </c>
      <c r="D10" s="9" t="n">
        <v>4375</v>
      </c>
      <c r="E10" s="7" t="n">
        <v>177</v>
      </c>
      <c r="F10" s="10" t="n">
        <v>44.04</v>
      </c>
      <c r="G10" s="7" t="n">
        <v>14</v>
      </c>
    </row>
    <row r="11">
      <c r="A11" s="3" t="n">
        <v>9</v>
      </c>
      <c r="B11" s="4" t="n">
        <v>45301</v>
      </c>
      <c r="C11" s="5" t="n">
        <v>9233</v>
      </c>
      <c r="D11" s="5" t="n">
        <v>8571</v>
      </c>
      <c r="E11" s="3" t="n">
        <v>107</v>
      </c>
      <c r="F11" s="6" t="n">
        <v>44.14</v>
      </c>
      <c r="G11" s="3" t="n">
        <v>4</v>
      </c>
    </row>
    <row r="12">
      <c r="A12" s="7" t="n">
        <v>10</v>
      </c>
      <c r="B12" s="8" t="n">
        <v>45302</v>
      </c>
      <c r="C12" s="9" t="n">
        <v>4039</v>
      </c>
      <c r="D12" s="9" t="n">
        <v>3369</v>
      </c>
      <c r="E12" s="7" t="n">
        <v>189</v>
      </c>
      <c r="F12" s="10" t="n">
        <v>66.01000000000001</v>
      </c>
      <c r="G12" s="7" t="n">
        <v>13</v>
      </c>
    </row>
    <row r="13">
      <c r="A13" s="3" t="n">
        <v>11</v>
      </c>
      <c r="B13" s="4" t="n">
        <v>45303</v>
      </c>
      <c r="C13" s="5" t="n">
        <v>8743</v>
      </c>
      <c r="D13" s="5" t="n">
        <v>3175</v>
      </c>
      <c r="E13" s="3" t="n">
        <v>149</v>
      </c>
      <c r="F13" s="6" t="n">
        <v>33.28</v>
      </c>
      <c r="G13" s="3" t="n">
        <v>5</v>
      </c>
    </row>
    <row r="14">
      <c r="A14" s="7" t="n">
        <v>12</v>
      </c>
      <c r="B14" s="8" t="n">
        <v>45304</v>
      </c>
      <c r="C14" s="9" t="n">
        <v>9267</v>
      </c>
      <c r="D14" s="9" t="n">
        <v>8217</v>
      </c>
      <c r="E14" s="7" t="n">
        <v>189</v>
      </c>
      <c r="F14" s="10" t="n">
        <v>77.04000000000001</v>
      </c>
      <c r="G14" s="7" t="n">
        <v>8</v>
      </c>
    </row>
    <row r="15">
      <c r="A15" s="3" t="n">
        <v>13</v>
      </c>
      <c r="B15" s="4" t="n">
        <v>45305</v>
      </c>
      <c r="C15" s="5" t="n">
        <v>7667</v>
      </c>
      <c r="D15" s="5" t="n">
        <v>4666</v>
      </c>
      <c r="E15" s="3" t="n">
        <v>142</v>
      </c>
      <c r="F15" s="6" t="n">
        <v>82.67</v>
      </c>
      <c r="G15" s="3" t="n">
        <v>14</v>
      </c>
    </row>
    <row r="16">
      <c r="A16" s="7" t="n">
        <v>14</v>
      </c>
      <c r="B16" s="8" t="n">
        <v>45306</v>
      </c>
      <c r="C16" s="9" t="n">
        <v>3912</v>
      </c>
      <c r="D16" s="9" t="n">
        <v>5170</v>
      </c>
      <c r="E16" s="7" t="n">
        <v>132</v>
      </c>
      <c r="F16" s="10" t="n">
        <v>93.52</v>
      </c>
      <c r="G16" s="7" t="n">
        <v>7</v>
      </c>
    </row>
    <row r="17">
      <c r="A17" s="3" t="n">
        <v>15</v>
      </c>
      <c r="B17" s="4" t="n">
        <v>45307</v>
      </c>
      <c r="C17" s="5" t="n">
        <v>8037</v>
      </c>
      <c r="D17" s="5" t="n">
        <v>3453</v>
      </c>
      <c r="E17" s="3" t="n">
        <v>96</v>
      </c>
      <c r="F17" s="6" t="n">
        <v>63.69</v>
      </c>
      <c r="G17" s="3" t="n">
        <v>2</v>
      </c>
    </row>
    <row r="18">
      <c r="A18" s="7" t="n">
        <v>16</v>
      </c>
      <c r="B18" s="8" t="n">
        <v>45308</v>
      </c>
      <c r="C18" s="9" t="n">
        <v>6656</v>
      </c>
      <c r="D18" s="9" t="n">
        <v>4707</v>
      </c>
      <c r="E18" s="7" t="n">
        <v>75</v>
      </c>
      <c r="F18" s="10" t="n">
        <v>36.43</v>
      </c>
      <c r="G18" s="7" t="n">
        <v>14</v>
      </c>
    </row>
    <row r="19">
      <c r="A19" s="3" t="n">
        <v>17</v>
      </c>
      <c r="B19" s="4" t="n">
        <v>45309</v>
      </c>
      <c r="C19" s="5" t="n">
        <v>3460</v>
      </c>
      <c r="D19" s="5" t="n">
        <v>3627</v>
      </c>
      <c r="E19" s="3" t="n">
        <v>170</v>
      </c>
      <c r="F19" s="6" t="n">
        <v>72.2</v>
      </c>
      <c r="G19" s="3" t="n">
        <v>3</v>
      </c>
    </row>
    <row r="20">
      <c r="A20" s="7" t="n">
        <v>18</v>
      </c>
      <c r="B20" s="8" t="n">
        <v>45310</v>
      </c>
      <c r="C20" s="9" t="n">
        <v>3444</v>
      </c>
      <c r="D20" s="9" t="n">
        <v>5913</v>
      </c>
      <c r="E20" s="7" t="n">
        <v>166</v>
      </c>
      <c r="F20" s="10" t="n">
        <v>91.44</v>
      </c>
      <c r="G20" s="7" t="n">
        <v>1</v>
      </c>
    </row>
    <row r="21">
      <c r="A21" s="3" t="n">
        <v>19</v>
      </c>
      <c r="B21" s="4" t="n">
        <v>45311</v>
      </c>
      <c r="C21" s="5" t="n">
        <v>3967</v>
      </c>
      <c r="D21" s="5" t="n">
        <v>5077</v>
      </c>
      <c r="E21" s="3" t="n">
        <v>63</v>
      </c>
      <c r="F21" s="6" t="n">
        <v>39.06</v>
      </c>
      <c r="G21" s="3" t="n">
        <v>0</v>
      </c>
    </row>
    <row r="22">
      <c r="A22" s="7" t="n">
        <v>20</v>
      </c>
      <c r="B22" s="8" t="n">
        <v>45312</v>
      </c>
      <c r="C22" s="9" t="n">
        <v>4991</v>
      </c>
      <c r="D22" s="9" t="n">
        <v>6514</v>
      </c>
      <c r="E22" s="7" t="n">
        <v>52</v>
      </c>
      <c r="F22" s="10" t="n">
        <v>63.35</v>
      </c>
      <c r="G22" s="7" t="n">
        <v>2</v>
      </c>
    </row>
    <row r="23">
      <c r="A23" s="3" t="n">
        <v>21</v>
      </c>
      <c r="B23" s="4" t="n">
        <v>45313</v>
      </c>
      <c r="C23" s="5" t="n">
        <v>5105</v>
      </c>
      <c r="D23" s="5" t="n">
        <v>8007</v>
      </c>
      <c r="E23" s="3" t="n">
        <v>68</v>
      </c>
      <c r="F23" s="6" t="n">
        <v>68.64</v>
      </c>
      <c r="G23" s="3" t="n">
        <v>7</v>
      </c>
    </row>
    <row r="24">
      <c r="A24" s="7" t="n">
        <v>22</v>
      </c>
      <c r="B24" s="8" t="n">
        <v>45314</v>
      </c>
      <c r="C24" s="9" t="n">
        <v>7339</v>
      </c>
      <c r="D24" s="9" t="n">
        <v>5788</v>
      </c>
      <c r="E24" s="7" t="n">
        <v>79</v>
      </c>
      <c r="F24" s="10" t="n">
        <v>92.61</v>
      </c>
      <c r="G24" s="7" t="n">
        <v>5</v>
      </c>
    </row>
    <row r="25">
      <c r="A25" s="3" t="n">
        <v>23</v>
      </c>
      <c r="B25" s="4" t="n">
        <v>45315</v>
      </c>
      <c r="C25" s="5" t="n">
        <v>8131</v>
      </c>
      <c r="D25" s="5" t="n">
        <v>4132</v>
      </c>
      <c r="E25" s="3" t="n">
        <v>200</v>
      </c>
      <c r="F25" s="6" t="n">
        <v>90.23999999999999</v>
      </c>
      <c r="G25" s="3" t="n">
        <v>13</v>
      </c>
    </row>
    <row r="26">
      <c r="A26" s="7" t="n">
        <v>24</v>
      </c>
      <c r="B26" s="8" t="n">
        <v>45316</v>
      </c>
      <c r="C26" s="9" t="n">
        <v>3417</v>
      </c>
      <c r="D26" s="9" t="n">
        <v>5832</v>
      </c>
      <c r="E26" s="7" t="n">
        <v>80</v>
      </c>
      <c r="F26" s="10" t="n">
        <v>78.59999999999999</v>
      </c>
      <c r="G26" s="7" t="n">
        <v>15</v>
      </c>
    </row>
    <row r="27">
      <c r="A27" s="3" t="n">
        <v>25</v>
      </c>
      <c r="B27" s="4" t="n">
        <v>45317</v>
      </c>
      <c r="C27" s="5" t="n">
        <v>7797</v>
      </c>
      <c r="D27" s="5" t="n">
        <v>5710</v>
      </c>
      <c r="E27" s="3" t="n">
        <v>148</v>
      </c>
      <c r="F27" s="6" t="n">
        <v>74.22</v>
      </c>
      <c r="G27" s="3" t="n">
        <v>15</v>
      </c>
    </row>
    <row r="28">
      <c r="A28" s="7" t="n">
        <v>26</v>
      </c>
      <c r="B28" s="8" t="n">
        <v>45318</v>
      </c>
      <c r="C28" s="9" t="n">
        <v>4828</v>
      </c>
      <c r="D28" s="9" t="n">
        <v>4516</v>
      </c>
      <c r="E28" s="7" t="n">
        <v>192</v>
      </c>
      <c r="F28" s="10" t="n">
        <v>75.77</v>
      </c>
      <c r="G28" s="7" t="n">
        <v>6</v>
      </c>
    </row>
    <row r="29">
      <c r="A29" s="3" t="n">
        <v>27</v>
      </c>
      <c r="B29" s="4" t="n">
        <v>45319</v>
      </c>
      <c r="C29" s="5" t="n">
        <v>9065</v>
      </c>
      <c r="D29" s="5" t="n">
        <v>8290</v>
      </c>
      <c r="E29" s="3" t="n">
        <v>56</v>
      </c>
      <c r="F29" s="6" t="n">
        <v>54.73</v>
      </c>
      <c r="G29" s="3" t="n">
        <v>12</v>
      </c>
    </row>
    <row r="30">
      <c r="A30" s="7" t="n">
        <v>28</v>
      </c>
      <c r="B30" s="8" t="n">
        <v>45320</v>
      </c>
      <c r="C30" s="9" t="n">
        <v>8523</v>
      </c>
      <c r="D30" s="9" t="n">
        <v>4987</v>
      </c>
      <c r="E30" s="7" t="n">
        <v>138</v>
      </c>
      <c r="F30" s="10" t="n">
        <v>73</v>
      </c>
      <c r="G30" s="7" t="n">
        <v>1</v>
      </c>
    </row>
    <row r="31">
      <c r="A31" s="3" t="n">
        <v>29</v>
      </c>
      <c r="B31" s="4" t="n">
        <v>45321</v>
      </c>
      <c r="C31" s="5" t="n">
        <v>8945</v>
      </c>
      <c r="D31" s="5" t="n">
        <v>8549</v>
      </c>
      <c r="E31" s="3" t="n">
        <v>137</v>
      </c>
      <c r="F31" s="6" t="n">
        <v>53.02</v>
      </c>
      <c r="G31" s="3" t="n">
        <v>5</v>
      </c>
    </row>
    <row r="32">
      <c r="A32" s="7" t="n">
        <v>30</v>
      </c>
      <c r="B32" s="8" t="n">
        <v>45322</v>
      </c>
      <c r="C32" s="9" t="n">
        <v>7664</v>
      </c>
      <c r="D32" s="9" t="n">
        <v>8399</v>
      </c>
      <c r="E32" s="7" t="n">
        <v>192</v>
      </c>
      <c r="F32" s="10" t="n">
        <v>88.27</v>
      </c>
      <c r="G32" s="7" t="n">
        <v>12</v>
      </c>
    </row>
    <row r="33">
      <c r="A33" s="3" t="n">
        <v>31</v>
      </c>
      <c r="B33" s="4" t="n">
        <v>45323</v>
      </c>
      <c r="C33" s="5" t="n">
        <v>6636</v>
      </c>
      <c r="D33" s="5" t="n">
        <v>8108</v>
      </c>
      <c r="E33" s="3" t="n">
        <v>159</v>
      </c>
      <c r="F33" s="6" t="n">
        <v>58.25</v>
      </c>
      <c r="G33" s="3" t="n">
        <v>0</v>
      </c>
    </row>
    <row r="34">
      <c r="A34" s="7" t="n">
        <v>32</v>
      </c>
      <c r="B34" s="8" t="n">
        <v>45324</v>
      </c>
      <c r="C34" s="9" t="n">
        <v>5005</v>
      </c>
      <c r="D34" s="9" t="n">
        <v>3384</v>
      </c>
      <c r="E34" s="7" t="n">
        <v>175</v>
      </c>
      <c r="F34" s="10" t="n">
        <v>44.61</v>
      </c>
      <c r="G34" s="7" t="n">
        <v>12</v>
      </c>
    </row>
    <row r="35">
      <c r="A35" s="3" t="n">
        <v>33</v>
      </c>
      <c r="B35" s="4" t="n">
        <v>45325</v>
      </c>
      <c r="C35" s="5" t="n">
        <v>6879</v>
      </c>
      <c r="D35" s="5" t="n">
        <v>7790</v>
      </c>
      <c r="E35" s="3" t="n">
        <v>104</v>
      </c>
      <c r="F35" s="6" t="n">
        <v>32.29</v>
      </c>
      <c r="G35" s="3" t="n">
        <v>8</v>
      </c>
    </row>
    <row r="36">
      <c r="A36" s="7" t="n">
        <v>34</v>
      </c>
      <c r="B36" s="8" t="n">
        <v>45326</v>
      </c>
      <c r="C36" s="9" t="n">
        <v>8027</v>
      </c>
      <c r="D36" s="9" t="n">
        <v>8001</v>
      </c>
      <c r="E36" s="7" t="n">
        <v>181</v>
      </c>
      <c r="F36" s="10" t="n">
        <v>29.41</v>
      </c>
      <c r="G36" s="7" t="n">
        <v>14</v>
      </c>
    </row>
    <row r="37">
      <c r="A37" s="3" t="n">
        <v>35</v>
      </c>
      <c r="B37" s="4" t="n">
        <v>45327</v>
      </c>
      <c r="C37" s="5" t="n">
        <v>5478</v>
      </c>
      <c r="D37" s="5" t="n">
        <v>4201</v>
      </c>
      <c r="E37" s="3" t="n">
        <v>42</v>
      </c>
      <c r="F37" s="6" t="n">
        <v>65.11</v>
      </c>
      <c r="G37" s="3" t="n">
        <v>9</v>
      </c>
    </row>
    <row r="38">
      <c r="A38" s="7" t="n">
        <v>36</v>
      </c>
      <c r="B38" s="8" t="n">
        <v>45328</v>
      </c>
      <c r="C38" s="9" t="n">
        <v>3253</v>
      </c>
      <c r="D38" s="9" t="n">
        <v>7175</v>
      </c>
      <c r="E38" s="7" t="n">
        <v>69</v>
      </c>
      <c r="F38" s="10" t="n">
        <v>67.43000000000001</v>
      </c>
      <c r="G38" s="7" t="n">
        <v>13</v>
      </c>
    </row>
    <row r="39">
      <c r="A39" s="3" t="n">
        <v>37</v>
      </c>
      <c r="B39" s="4" t="n">
        <v>45329</v>
      </c>
      <c r="C39" s="5" t="n">
        <v>9416</v>
      </c>
      <c r="D39" s="5" t="n">
        <v>4805</v>
      </c>
      <c r="E39" s="3" t="n">
        <v>177</v>
      </c>
      <c r="F39" s="6" t="n">
        <v>28.48</v>
      </c>
      <c r="G39" s="3" t="n">
        <v>15</v>
      </c>
    </row>
    <row r="40">
      <c r="A40" s="7" t="n">
        <v>38</v>
      </c>
      <c r="B40" s="8" t="n">
        <v>45330</v>
      </c>
      <c r="C40" s="9" t="n">
        <v>4507</v>
      </c>
      <c r="D40" s="9" t="n">
        <v>4138</v>
      </c>
      <c r="E40" s="7" t="n">
        <v>108</v>
      </c>
      <c r="F40" s="10" t="n">
        <v>75.43000000000001</v>
      </c>
      <c r="G40" s="7" t="n">
        <v>4</v>
      </c>
    </row>
    <row r="41">
      <c r="A41" s="3" t="n">
        <v>39</v>
      </c>
      <c r="B41" s="4" t="n">
        <v>45331</v>
      </c>
      <c r="C41" s="5" t="n">
        <v>8919</v>
      </c>
      <c r="D41" s="5" t="n">
        <v>6586</v>
      </c>
      <c r="E41" s="3" t="n">
        <v>127</v>
      </c>
      <c r="F41" s="6" t="n">
        <v>31.94</v>
      </c>
      <c r="G41" s="3" t="n">
        <v>6</v>
      </c>
    </row>
    <row r="42">
      <c r="A42" s="7" t="n">
        <v>40</v>
      </c>
      <c r="B42" s="8" t="n">
        <v>45332</v>
      </c>
      <c r="C42" s="9" t="n">
        <v>6662</v>
      </c>
      <c r="D42" s="9" t="n">
        <v>5908</v>
      </c>
      <c r="E42" s="7" t="n">
        <v>68</v>
      </c>
      <c r="F42" s="10" t="n">
        <v>32.52</v>
      </c>
      <c r="G42" s="7" t="n">
        <v>9</v>
      </c>
    </row>
    <row r="43">
      <c r="A43" s="3" t="n">
        <v>41</v>
      </c>
      <c r="B43" s="4" t="n">
        <v>45333</v>
      </c>
      <c r="C43" s="5" t="n">
        <v>5987</v>
      </c>
      <c r="D43" s="5" t="n">
        <v>5011</v>
      </c>
      <c r="E43" s="3" t="n">
        <v>115</v>
      </c>
      <c r="F43" s="6" t="n">
        <v>30.1</v>
      </c>
      <c r="G43" s="3" t="n">
        <v>6</v>
      </c>
    </row>
    <row r="44">
      <c r="A44" s="7" t="n">
        <v>42</v>
      </c>
      <c r="B44" s="8" t="n">
        <v>45334</v>
      </c>
      <c r="C44" s="9" t="n">
        <v>5476</v>
      </c>
      <c r="D44" s="9" t="n">
        <v>8042</v>
      </c>
      <c r="E44" s="7" t="n">
        <v>151</v>
      </c>
      <c r="F44" s="10" t="n">
        <v>50.14</v>
      </c>
      <c r="G44" s="7" t="n">
        <v>1</v>
      </c>
    </row>
    <row r="45">
      <c r="A45" s="3" t="n">
        <v>43</v>
      </c>
      <c r="B45" s="4" t="n">
        <v>45335</v>
      </c>
      <c r="C45" s="5" t="n">
        <v>4473</v>
      </c>
      <c r="D45" s="5" t="n">
        <v>8437</v>
      </c>
      <c r="E45" s="3" t="n">
        <v>80</v>
      </c>
      <c r="F45" s="6" t="n">
        <v>62.45</v>
      </c>
      <c r="G45" s="3" t="n">
        <v>1</v>
      </c>
    </row>
    <row r="46">
      <c r="A46" s="7" t="n">
        <v>44</v>
      </c>
      <c r="B46" s="8" t="n">
        <v>45336</v>
      </c>
      <c r="C46" s="9" t="n">
        <v>4963</v>
      </c>
      <c r="D46" s="9" t="n">
        <v>7362</v>
      </c>
      <c r="E46" s="7" t="n">
        <v>156</v>
      </c>
      <c r="F46" s="10" t="n">
        <v>46.66</v>
      </c>
      <c r="G46" s="7" t="n">
        <v>10</v>
      </c>
    </row>
    <row r="47">
      <c r="A47" s="3" t="n">
        <v>45</v>
      </c>
      <c r="B47" s="4" t="n">
        <v>45337</v>
      </c>
      <c r="C47" s="5" t="n">
        <v>9454</v>
      </c>
      <c r="D47" s="5" t="n">
        <v>4599</v>
      </c>
      <c r="E47" s="3" t="n">
        <v>40</v>
      </c>
      <c r="F47" s="6" t="n">
        <v>60.52</v>
      </c>
      <c r="G47" s="3" t="n">
        <v>1</v>
      </c>
    </row>
    <row r="48">
      <c r="A48" s="7" t="n">
        <v>46</v>
      </c>
      <c r="B48" s="8" t="n">
        <v>45338</v>
      </c>
      <c r="C48" s="9" t="n">
        <v>5957</v>
      </c>
      <c r="D48" s="9" t="n">
        <v>8408</v>
      </c>
      <c r="E48" s="7" t="n">
        <v>107</v>
      </c>
      <c r="F48" s="10" t="n">
        <v>64.13</v>
      </c>
      <c r="G48" s="7" t="n">
        <v>1</v>
      </c>
    </row>
    <row r="49">
      <c r="A49" s="3" t="n">
        <v>47</v>
      </c>
      <c r="B49" s="4" t="n">
        <v>45339</v>
      </c>
      <c r="C49" s="5" t="n">
        <v>4037</v>
      </c>
      <c r="D49" s="5" t="n">
        <v>5456</v>
      </c>
      <c r="E49" s="3" t="n">
        <v>168</v>
      </c>
      <c r="F49" s="6" t="n">
        <v>76.45999999999999</v>
      </c>
      <c r="G49" s="3" t="n">
        <v>15</v>
      </c>
    </row>
    <row r="50">
      <c r="A50" s="7" t="n">
        <v>48</v>
      </c>
      <c r="B50" s="8" t="n">
        <v>45340</v>
      </c>
      <c r="C50" s="9" t="n">
        <v>3959</v>
      </c>
      <c r="D50" s="9" t="n">
        <v>3258</v>
      </c>
      <c r="E50" s="7" t="n">
        <v>85</v>
      </c>
      <c r="F50" s="10" t="n">
        <v>87.12</v>
      </c>
      <c r="G50" s="7" t="n">
        <v>5</v>
      </c>
    </row>
    <row r="51">
      <c r="A51" s="3" t="n">
        <v>49</v>
      </c>
      <c r="B51" s="4" t="n">
        <v>45341</v>
      </c>
      <c r="C51" s="5" t="n">
        <v>6312</v>
      </c>
      <c r="D51" s="5" t="n">
        <v>4676</v>
      </c>
      <c r="E51" s="3" t="n">
        <v>169</v>
      </c>
      <c r="F51" s="6" t="n">
        <v>66.61</v>
      </c>
      <c r="G51" s="3" t="n">
        <v>1</v>
      </c>
    </row>
    <row r="52">
      <c r="A52" s="7" t="n">
        <v>50</v>
      </c>
      <c r="B52" s="8" t="n">
        <v>45342</v>
      </c>
      <c r="C52" s="9" t="n">
        <v>3992</v>
      </c>
      <c r="D52" s="9" t="n">
        <v>3062</v>
      </c>
      <c r="E52" s="7" t="n">
        <v>67</v>
      </c>
      <c r="F52" s="10" t="n">
        <v>44.28</v>
      </c>
      <c r="G52" s="7" t="n">
        <v>2</v>
      </c>
    </row>
    <row r="53">
      <c r="A53" s="3" t="n">
        <v>51</v>
      </c>
      <c r="B53" s="4" t="n">
        <v>45343</v>
      </c>
      <c r="C53" s="5" t="n">
        <v>6140</v>
      </c>
      <c r="D53" s="5" t="n">
        <v>5384</v>
      </c>
      <c r="E53" s="3" t="n">
        <v>200</v>
      </c>
      <c r="F53" s="6" t="n">
        <v>59.69</v>
      </c>
      <c r="G53" s="3" t="n">
        <v>5</v>
      </c>
    </row>
    <row r="54">
      <c r="A54" s="7" t="n">
        <v>52</v>
      </c>
      <c r="B54" s="8" t="n">
        <v>45344</v>
      </c>
      <c r="C54" s="9" t="n">
        <v>6017</v>
      </c>
      <c r="D54" s="9" t="n">
        <v>6086</v>
      </c>
      <c r="E54" s="7" t="n">
        <v>116</v>
      </c>
      <c r="F54" s="10" t="n">
        <v>55.27</v>
      </c>
      <c r="G54" s="7" t="n">
        <v>2</v>
      </c>
    </row>
    <row r="55">
      <c r="A55" s="3" t="n">
        <v>53</v>
      </c>
      <c r="B55" s="4" t="n">
        <v>45345</v>
      </c>
      <c r="C55" s="5" t="n">
        <v>8145</v>
      </c>
      <c r="D55" s="5" t="n">
        <v>4993</v>
      </c>
      <c r="E55" s="3" t="n">
        <v>169</v>
      </c>
      <c r="F55" s="6" t="n">
        <v>34.32</v>
      </c>
      <c r="G55" s="3" t="n">
        <v>2</v>
      </c>
    </row>
    <row r="56">
      <c r="A56" s="7" t="n">
        <v>54</v>
      </c>
      <c r="B56" s="8" t="n">
        <v>45346</v>
      </c>
      <c r="C56" s="9" t="n">
        <v>5366</v>
      </c>
      <c r="D56" s="9" t="n">
        <v>3342</v>
      </c>
      <c r="E56" s="7" t="n">
        <v>195</v>
      </c>
      <c r="F56" s="10" t="n">
        <v>72.15000000000001</v>
      </c>
      <c r="G56" s="7" t="n">
        <v>7</v>
      </c>
    </row>
    <row r="57">
      <c r="A57" s="3" t="n">
        <v>55</v>
      </c>
      <c r="B57" s="4" t="n">
        <v>45347</v>
      </c>
      <c r="C57" s="5" t="n">
        <v>3555</v>
      </c>
      <c r="D57" s="5" t="n">
        <v>4528</v>
      </c>
      <c r="E57" s="3" t="n">
        <v>90</v>
      </c>
      <c r="F57" s="6" t="n">
        <v>51.74</v>
      </c>
      <c r="G57" s="3" t="n">
        <v>12</v>
      </c>
    </row>
    <row r="58">
      <c r="A58" s="7" t="n">
        <v>56</v>
      </c>
      <c r="B58" s="8" t="n">
        <v>45348</v>
      </c>
      <c r="C58" s="9" t="n">
        <v>9177</v>
      </c>
      <c r="D58" s="9" t="n">
        <v>7446</v>
      </c>
      <c r="E58" s="7" t="n">
        <v>79</v>
      </c>
      <c r="F58" s="10" t="n">
        <v>55.54</v>
      </c>
      <c r="G58" s="7" t="n">
        <v>3</v>
      </c>
    </row>
    <row r="59">
      <c r="A59" s="3" t="n">
        <v>57</v>
      </c>
      <c r="B59" s="4" t="n">
        <v>45349</v>
      </c>
      <c r="C59" s="5" t="n">
        <v>6963</v>
      </c>
      <c r="D59" s="5" t="n">
        <v>5377</v>
      </c>
      <c r="E59" s="3" t="n">
        <v>135</v>
      </c>
      <c r="F59" s="6" t="n">
        <v>85.88</v>
      </c>
      <c r="G59" s="3" t="n">
        <v>7</v>
      </c>
    </row>
    <row r="60">
      <c r="A60" s="7" t="n">
        <v>58</v>
      </c>
      <c r="B60" s="8" t="n">
        <v>45350</v>
      </c>
      <c r="C60" s="9" t="n">
        <v>7592</v>
      </c>
      <c r="D60" s="9" t="n">
        <v>4541</v>
      </c>
      <c r="E60" s="7" t="n">
        <v>81</v>
      </c>
      <c r="F60" s="10" t="n">
        <v>31.63</v>
      </c>
      <c r="G60" s="7" t="n">
        <v>1</v>
      </c>
    </row>
    <row r="61">
      <c r="A61" s="3" t="n">
        <v>59</v>
      </c>
      <c r="B61" s="4" t="n">
        <v>45351</v>
      </c>
      <c r="C61" s="5" t="n">
        <v>4222</v>
      </c>
      <c r="D61" s="5" t="n">
        <v>8169</v>
      </c>
      <c r="E61" s="3" t="n">
        <v>178</v>
      </c>
      <c r="F61" s="6" t="n">
        <v>71.78</v>
      </c>
      <c r="G61" s="3" t="n">
        <v>2</v>
      </c>
    </row>
    <row r="62">
      <c r="A62" s="7" t="n">
        <v>60</v>
      </c>
      <c r="B62" s="8" t="n">
        <v>45352</v>
      </c>
      <c r="C62" s="9" t="n">
        <v>6300</v>
      </c>
      <c r="D62" s="9" t="n">
        <v>6889</v>
      </c>
      <c r="E62" s="7" t="n">
        <v>175</v>
      </c>
      <c r="F62" s="10" t="n">
        <v>71.29000000000001</v>
      </c>
      <c r="G62" s="7" t="n">
        <v>13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8" customWidth="1" min="4" max="4"/>
  </cols>
  <sheetData>
    <row r="1" ht="30" customHeight="1">
      <c r="A1" s="1" t="inlineStr">
        <is>
          <t>Descriptive Statistics — Excel Formulas (Objectives 3 &amp; 4)</t>
        </is>
      </c>
    </row>
    <row r="2">
      <c r="A2" s="2" t="inlineStr">
        <is>
          <t>Statistic</t>
        </is>
      </c>
      <c r="B2" s="2" t="inlineStr">
        <is>
          <t>Store A Sales</t>
        </is>
      </c>
      <c r="C2" s="2" t="inlineStr">
        <is>
          <t>Store B Sales</t>
        </is>
      </c>
      <c r="D2" s="2" t="inlineStr">
        <is>
          <t>What It Tells You</t>
        </is>
      </c>
    </row>
    <row r="3" ht="22" customHeight="1">
      <c r="A3" s="11" t="inlineStr">
        <is>
          <t>Count</t>
        </is>
      </c>
      <c r="B3" s="12">
        <f>COUNT(Sales_Data!C3:C62)</f>
        <v/>
      </c>
      <c r="C3" s="12">
        <f>COUNT(Sales_Data!D3:D62)</f>
        <v/>
      </c>
      <c r="D3" s="13" t="inlineStr">
        <is>
          <t>How many data points exist</t>
        </is>
      </c>
    </row>
    <row r="4" ht="22" customHeight="1">
      <c r="A4" s="14" t="inlineStr">
        <is>
          <t>Minimum</t>
        </is>
      </c>
      <c r="B4" s="15">
        <f>MIN(Sales_Data!C3:C62)</f>
        <v/>
      </c>
      <c r="C4" s="15">
        <f>MIN(Sales_Data!D3:D62)</f>
        <v/>
      </c>
      <c r="D4" s="16" t="inlineStr">
        <is>
          <t>The smallest value in the dataset</t>
        </is>
      </c>
    </row>
    <row r="5" ht="22" customHeight="1">
      <c r="A5" s="11" t="inlineStr">
        <is>
          <t>Maximum</t>
        </is>
      </c>
      <c r="B5" s="15">
        <f>MAX(Sales_Data!C3:C62)</f>
        <v/>
      </c>
      <c r="C5" s="15">
        <f>MAX(Sales_Data!D3:D62)</f>
        <v/>
      </c>
      <c r="D5" s="13" t="inlineStr">
        <is>
          <t>The largest value in the dataset</t>
        </is>
      </c>
    </row>
    <row r="6" ht="22" customHeight="1">
      <c r="A6" s="14" t="inlineStr">
        <is>
          <t>Range</t>
        </is>
      </c>
      <c r="B6" s="15">
        <f>MAX(Sales_Data!C3:C62)-MIN(Sales_Data!C3:C62)</f>
        <v/>
      </c>
      <c r="C6" s="15">
        <f>MAX(Sales_Data!D3:D62)-MIN(Sales_Data!D3:D62)</f>
        <v/>
      </c>
      <c r="D6" s="16" t="inlineStr">
        <is>
          <t>Spread from min to max</t>
        </is>
      </c>
    </row>
    <row r="7" ht="22" customHeight="1">
      <c r="A7" s="11" t="inlineStr">
        <is>
          <t>Mean (Average)</t>
        </is>
      </c>
      <c r="B7" s="15">
        <f>AVERAGE(Sales_Data!C3:C62)</f>
        <v/>
      </c>
      <c r="C7" s="15">
        <f>AVERAGE(Sales_Data!D3:D62)</f>
        <v/>
      </c>
      <c r="D7" s="13" t="inlineStr">
        <is>
          <t>Arithmetic average of all values</t>
        </is>
      </c>
    </row>
    <row r="8" ht="22" customHeight="1">
      <c r="A8" s="14" t="inlineStr">
        <is>
          <t>Median</t>
        </is>
      </c>
      <c r="B8" s="12">
        <f>MEDIAN(Sales_Data!C3:C62)</f>
        <v/>
      </c>
      <c r="C8" s="12">
        <f>MEDIAN(Sales_Data!D3:D62)</f>
        <v/>
      </c>
      <c r="D8" s="16" t="inlineStr">
        <is>
          <t>Middle value — not skewed by outliers</t>
        </is>
      </c>
    </row>
    <row r="9" ht="22" customHeight="1">
      <c r="A9" s="11" t="inlineStr">
        <is>
          <t>Mode</t>
        </is>
      </c>
      <c r="B9" s="15">
        <f>MODE(Sales_Data!C3:C62)</f>
        <v/>
      </c>
      <c r="C9" s="15">
        <f>MODE(Sales_Data!D3:D62)</f>
        <v/>
      </c>
      <c r="D9" s="13" t="inlineStr">
        <is>
          <t>Most frequently occurring value</t>
        </is>
      </c>
    </row>
    <row r="10" ht="22" customHeight="1">
      <c r="A10" s="14" t="inlineStr">
        <is>
          <t>Variance (Sample)</t>
        </is>
      </c>
      <c r="B10" s="15">
        <f>VAR.S(Sales_Data!C3:C62)</f>
        <v/>
      </c>
      <c r="C10" s="15">
        <f>VAR.S(Sales_Data!D3:D62)</f>
        <v/>
      </c>
      <c r="D10" s="16" t="inlineStr">
        <is>
          <t>Average squared deviation from the mean</t>
        </is>
      </c>
    </row>
    <row r="11" ht="22" customHeight="1">
      <c r="A11" s="11" t="inlineStr">
        <is>
          <t>Std Dev (Sample)</t>
        </is>
      </c>
      <c r="B11" s="15">
        <f>STDEV.S(Sales_Data!C3:C62)</f>
        <v/>
      </c>
      <c r="C11" s="15">
        <f>STDEV.S(Sales_Data!D3:D62)</f>
        <v/>
      </c>
      <c r="D11" s="13" t="inlineStr">
        <is>
          <t>Typical distance from the mean</t>
        </is>
      </c>
    </row>
    <row r="12" ht="22" customHeight="1">
      <c r="A12" s="14" t="inlineStr">
        <is>
          <t>Std Dev (Population)</t>
        </is>
      </c>
      <c r="B12" s="15">
        <f>STDEV.P(Sales_Data!C3:C62)</f>
        <v/>
      </c>
      <c r="C12" s="15">
        <f>STDEV.P(Sales_Data!D3:D62)</f>
        <v/>
      </c>
      <c r="D12" s="16" t="inlineStr">
        <is>
          <t>Use when data IS the whole population</t>
        </is>
      </c>
    </row>
    <row r="13" ht="22" customHeight="1">
      <c r="A13" s="11" t="inlineStr">
        <is>
          <t>Skewness</t>
        </is>
      </c>
      <c r="B13" s="12">
        <f>SKEW(Sales_Data!C3:C62)</f>
        <v/>
      </c>
      <c r="C13" s="12">
        <f>SKEW(Sales_Data!D3:D62)</f>
        <v/>
      </c>
      <c r="D13" s="13" t="inlineStr">
        <is>
          <t>&gt;0 = right tail; &lt;0 = left tail; 0 = symmetric</t>
        </is>
      </c>
    </row>
    <row r="14" ht="22" customHeight="1">
      <c r="A14" s="14" t="inlineStr">
        <is>
          <t>Kurtosis</t>
        </is>
      </c>
      <c r="B14" s="12">
        <f>KURT(Sales_Data!C3:C62)</f>
        <v/>
      </c>
      <c r="C14" s="12">
        <f>KURT(Sales_Data!D3:D62)</f>
        <v/>
      </c>
      <c r="D14" s="16" t="inlineStr">
        <is>
          <t>&gt;0 = heavy tails; &lt;0 = light tails vs normal</t>
        </is>
      </c>
    </row>
    <row r="15" ht="22" customHeight="1">
      <c r="A15" s="11" t="inlineStr">
        <is>
          <t>1st Quartile (Q1)</t>
        </is>
      </c>
      <c r="B15" s="15">
        <f>QUARTILE.INC(Sales_Data!C3:C62,1)</f>
        <v/>
      </c>
      <c r="C15" s="15">
        <f>QUARTILE.INC(Sales_Data!D3:D62,1)</f>
        <v/>
      </c>
      <c r="D15" s="13" t="inlineStr">
        <is>
          <t>25th percentile — bottom 25% of data</t>
        </is>
      </c>
    </row>
    <row r="16" ht="22" customHeight="1">
      <c r="A16" s="14" t="inlineStr">
        <is>
          <t>3rd Quartile (Q3)</t>
        </is>
      </c>
      <c r="B16" s="15">
        <f>QUARTILE.INC(Sales_Data!C3:C62,3)</f>
        <v/>
      </c>
      <c r="C16" s="15">
        <f>QUARTILE.INC(Sales_Data!D3:D62,3)</f>
        <v/>
      </c>
      <c r="D16" s="16" t="inlineStr">
        <is>
          <t>75th percentile — top 25% of data</t>
        </is>
      </c>
    </row>
    <row r="17" ht="22" customHeight="1">
      <c r="A17" s="11" t="inlineStr">
        <is>
          <t>IQR (Q3 - Q1)</t>
        </is>
      </c>
      <c r="B17" s="15">
        <f>QUARTILE.INC(Sales_Data!C3:C62,3)-QUARTILE.INC(Sales_Data!C3:C62,1)</f>
        <v/>
      </c>
      <c r="C17" s="15">
        <f>QUARTILE.INC(Sales_Data!D3:D62,3)-QUARTILE.INC(Sales_Data!D3:D62,1)</f>
        <v/>
      </c>
      <c r="D17" s="13" t="inlineStr">
        <is>
          <t>Middle 50% spread — resistant to outliers</t>
        </is>
      </c>
    </row>
    <row r="18" ht="22" customHeight="1">
      <c r="A18" s="14" t="inlineStr">
        <is>
          <t>90th Percentile</t>
        </is>
      </c>
      <c r="B18" s="15">
        <f>PERCENTILE.INC(Sales_Data!C3:C62,0.9)</f>
        <v/>
      </c>
      <c r="C18" s="15">
        <f>PERCENTILE.INC(Sales_Data!D3:D62,0.9)</f>
        <v/>
      </c>
      <c r="D18" s="16" t="inlineStr">
        <is>
          <t>90% of values fall below this</t>
        </is>
      </c>
    </row>
    <row r="19" ht="22" customHeight="1">
      <c r="A19" s="11" t="inlineStr">
        <is>
          <t>Coefficient of Variation</t>
        </is>
      </c>
      <c r="B19" s="17">
        <f>STDEV.S(Sales_Data!C3:C62)/AVERAGE(Sales_Data!C3:C62)</f>
        <v/>
      </c>
      <c r="C19" s="17">
        <f>STDEV.S(Sales_Data!D3:D62)/AVERAGE(Sales_Data!D3:D62)</f>
        <v/>
      </c>
      <c r="D19" s="13" t="inlineStr">
        <is>
          <t>Relative variability — compare datasets of different scales</t>
        </is>
      </c>
    </row>
    <row r="20" ht="22" customHeight="1">
      <c r="A20" s="14" t="inlineStr">
        <is>
          <t>Standard Error</t>
        </is>
      </c>
      <c r="B20" s="15">
        <f>STDEV.S(Sales_Data!C3:C62)/SQRT(COUNT(Sales_Data!C3:C62))</f>
        <v/>
      </c>
      <c r="C20" s="15">
        <f>STDEV.S(Sales_Data!D3:D62)/SQRT(COUNT(Sales_Data!D3:D62))</f>
        <v/>
      </c>
      <c r="D20" s="16" t="inlineStr">
        <is>
          <t>Precision of the sample mean estimate</t>
        </is>
      </c>
    </row>
    <row r="22" ht="30" customHeight="1">
      <c r="A22" s="18" t="inlineStr">
        <is>
          <t>📌 Key Insight: Use STDEV.S when working with a SAMPLE (most common). Use STDEV.P only when you have data for the ENTIRE population.</t>
        </is>
      </c>
    </row>
    <row r="24" ht="50" customHeight="1">
      <c r="A24" s="19" t="inlineStr">
        <is>
          <t>🔧 Next Step — Analysis ToolPak: Go to Data tab → Data Analysis → Descriptive Statistics. Set Input Range to Sales_Data!C2:D62, check 'Labels in First Row' and 'Summary Statistics'. The ToolPak will generate all these stats automatically.</t>
        </is>
      </c>
    </row>
  </sheetData>
  <mergeCells count="3">
    <mergeCell ref="A22:D22"/>
    <mergeCell ref="A1:D1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</cols>
  <sheetData>
    <row r="1" ht="30" customHeight="1">
      <c r="A1" s="1" t="inlineStr">
        <is>
          <t>Using the Analysis ToolPak — Step-by-Step Guide (Objective 4)</t>
        </is>
      </c>
    </row>
    <row r="3" ht="80" customHeight="1">
      <c r="A3" s="20" t="inlineStr">
        <is>
          <t>Step 1</t>
        </is>
      </c>
      <c r="B3" s="21" t="inlineStr">
        <is>
          <t>Enable the Analysis ToolPak
• Go to File → Options → Add-ins
• At the bottom, set 'Manage' to 'Excel Add-ins' → Go
• Check 'Analysis ToolPak' → OK
• You will now see 'Data Analysis' in the Data tab.</t>
        </is>
      </c>
      <c r="C3" s="22" t="inlineStr">
        <is>
          <t>💡 Only needed once per computer</t>
        </is>
      </c>
    </row>
    <row r="6" ht="80" customHeight="1">
      <c r="A6" s="20" t="inlineStr">
        <is>
          <t>Step 2</t>
        </is>
      </c>
      <c r="B6" s="21" t="inlineStr">
        <is>
          <t>Open Descriptive Statistics
• Click the Data tab
• Click 'Data Analysis' (far right)
• Select 'Descriptive Statistics' → OK</t>
        </is>
      </c>
      <c r="C6" s="22" t="inlineStr">
        <is>
          <t>💡 The ToolPak dialog will open</t>
        </is>
      </c>
    </row>
    <row r="9" ht="80" customHeight="1">
      <c r="A9" s="20" t="inlineStr">
        <is>
          <t>Step 3</t>
        </is>
      </c>
      <c r="B9" s="21" t="inlineStr">
        <is>
          <t>Set your Input Range
• Input Range: Sales_Data!$C$2:$D$62
• Check 'Labels in First Row' (since row 2 has headers)
• Grouped by: Columns</t>
        </is>
      </c>
      <c r="C9" s="22" t="inlineStr">
        <is>
          <t>💡 Always include column headers for clean output</t>
        </is>
      </c>
    </row>
    <row r="12" ht="80" customHeight="1">
      <c r="A12" s="20" t="inlineStr">
        <is>
          <t>Step 4</t>
        </is>
      </c>
      <c r="B12" s="21" t="inlineStr">
        <is>
          <t>Set Output Options
• Select 'New Worksheet Ply' and name it 'ToolPak_Output'
• Check: Summary statistics
• Check: Confidence Level for Mean (95%)
• Check: Kth Largest (1) and Kth Smallest (1)
• Click OK</t>
        </is>
      </c>
      <c r="C12" s="22" t="inlineStr">
        <is>
          <t>💡 Output goes to a new sheet automatically</t>
        </is>
      </c>
    </row>
    <row r="15" ht="80" customHeight="1">
      <c r="A15" s="20" t="inlineStr">
        <is>
          <t>Step 5</t>
        </is>
      </c>
      <c r="B15" s="21" t="inlineStr">
        <is>
          <t>Interpret the ToolPak Output
• Mean: average daily sales
• Standard Error: precision of the mean estimate
• Median: middle value
• Mode: most common sales level
• Standard Deviation: typical variation from mean
• Variance: squared variation
• Kurtosis: shape of distribution tails
• Skewness: left/right asymmetry
• Range: max minus min
• Confidence Level: add/subtract from mean for 95% CI</t>
        </is>
      </c>
      <c r="C15" s="22" t="inlineStr">
        <is>
          <t>💡 Compare Store A vs Store B columns</t>
        </is>
      </c>
    </row>
    <row r="18" ht="80" customHeight="1">
      <c r="A18" s="20" t="inlineStr">
        <is>
          <t>Step 6</t>
        </is>
      </c>
      <c r="B18" s="21" t="inlineStr">
        <is>
          <t>Practice Tasks
1. Run ToolPak for Total Units Sold (column E)
2. Run ToolPak for Avg Transaction (column F)
3. Compare: which store has greater relative variability?
   (Hint: compare CV = StdDev/Mean)
4. Which column is most skewed? What does that mean?</t>
        </is>
      </c>
      <c r="C18" s="22" t="inlineStr">
        <is>
          <t>💡 Discuss your findings with a classmate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2026-05-29T14:17:56Z</dcterms:created>
  <dcterms:modified xsi:type="dcterms:W3CDTF">2026-05-29T14:17:56Z</dcterms:modified>
</cp:coreProperties>
</file>