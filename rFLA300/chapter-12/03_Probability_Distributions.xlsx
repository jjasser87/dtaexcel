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_Distribution" sheetId="1" state="visible" r:id="rId1"/>
    <sheet name="Binomial_Distribution" sheetId="2" state="visible" r:id="rId2"/>
    <sheet name="Poisson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0.0000"/>
    <numFmt numFmtId="167" formatCode="0.000%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/>
    <font>
      <i val="1"/>
      <sz val="11"/>
    </font>
    <font>
      <b val="1"/>
      <sz val="11"/>
    </font>
    <font>
      <b val="1"/>
    </font>
    <font>
      <name val="Courier New"/>
      <sz val="9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7F7F7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horizontal="center"/>
    </xf>
    <xf numFmtId="0" fontId="2" fillId="4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6" fillId="6" borderId="1" applyAlignment="1" pivotButton="0" quotePrefix="0" xfId="0">
      <alignment wrapText="1"/>
    </xf>
    <xf numFmtId="165" fontId="0" fillId="7" borderId="1" applyAlignment="1" pivotButton="0" quotePrefix="0" xfId="0">
      <alignment horizontal="center"/>
    </xf>
    <xf numFmtId="0" fontId="2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164" fontId="0" fillId="7" borderId="1" applyAlignment="1" pivotButton="0" quotePrefix="0" xfId="0">
      <alignment horizontal="center"/>
    </xf>
    <xf numFmtId="0" fontId="7" fillId="8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166" fontId="0" fillId="7" borderId="1" applyAlignment="1" pivotButton="0" quotePrefix="0" xfId="0">
      <alignment horizontal="center"/>
    </xf>
    <xf numFmtId="0" fontId="0" fillId="4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8" fillId="5" borderId="0" applyAlignment="1" pivotButton="0" quotePrefix="0" xfId="0">
      <alignment wrapText="1"/>
    </xf>
    <xf numFmtId="0" fontId="0" fillId="5" borderId="0" applyAlignment="1" pivotButton="0" quotePrefix="0" xfId="0">
      <alignment horizontal="center"/>
    </xf>
    <xf numFmtId="9" fontId="0" fillId="5" borderId="0" applyAlignment="1" pivotButton="0" quotePrefix="0" xfId="0">
      <alignment horizontal="center"/>
    </xf>
    <xf numFmtId="167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4" customWidth="1" min="4" max="4"/>
    <col width="40" customWidth="1" min="5" max="5"/>
  </cols>
  <sheetData>
    <row r="1" ht="30" customHeight="1">
      <c r="A1" s="1" t="inlineStr">
        <is>
          <t>Normal Distribution — NORM.DIST and NORM.INV (Objective 5)</t>
        </is>
      </c>
    </row>
    <row r="2" ht="50" customHeight="1">
      <c r="A2" s="2" t="inlineStr">
        <is>
          <t>The normal distribution is bell-shaped and symmetric around its mean. Many business quantities — daily revenue, product weights, customer wait times — follow a normal distribution. NORM.DIST computes probabilities; NORM.INV finds the value for a given probability.</t>
        </is>
      </c>
    </row>
    <row r="4">
      <c r="A4" s="3" t="inlineStr">
        <is>
          <t>Model Inputs</t>
        </is>
      </c>
      <c r="B4" s="3" t="inlineStr">
        <is>
          <t>Value</t>
        </is>
      </c>
      <c r="C4" s="3" t="inlineStr"/>
      <c r="E4" s="3" t="inlineStr">
        <is>
          <t>Business Scenario</t>
        </is>
      </c>
    </row>
    <row r="5">
      <c r="A5" s="4" t="inlineStr">
        <is>
          <t>Population Mean (µ)</t>
        </is>
      </c>
      <c r="B5" s="5" t="n">
        <v>50000</v>
      </c>
      <c r="E5" s="6" t="inlineStr">
        <is>
          <t>A retail chain has average daily revenue of $50,000.</t>
        </is>
      </c>
    </row>
    <row r="6">
      <c r="A6" s="4" t="inlineStr">
        <is>
          <t>Standard Deviation (σ)</t>
        </is>
      </c>
      <c r="B6" s="5" t="n">
        <v>8000</v>
      </c>
      <c r="E6" s="6" t="inlineStr">
        <is>
          <t>Revenue varies by about $8,000 day-to-day.</t>
        </is>
      </c>
    </row>
    <row r="8">
      <c r="A8" s="7" t="inlineStr">
        <is>
          <t>Question</t>
        </is>
      </c>
      <c r="B8" s="7" t="inlineStr">
        <is>
          <t>Target</t>
        </is>
      </c>
      <c r="C8" s="7" t="inlineStr">
        <is>
          <t>Formula to Enter</t>
        </is>
      </c>
      <c r="D8" s="7" t="inlineStr">
        <is>
          <t>Result</t>
        </is>
      </c>
      <c r="E8" s="7" t="inlineStr">
        <is>
          <t>Interpretation</t>
        </is>
      </c>
    </row>
    <row r="9" ht="36" customHeight="1">
      <c r="A9" s="8" t="inlineStr">
        <is>
          <t>Q1: P(Revenue &lt; $40,000)</t>
        </is>
      </c>
      <c r="B9" s="9" t="inlineStr">
        <is>
          <t>40000</t>
        </is>
      </c>
      <c r="C9" s="10" t="inlineStr">
        <is>
          <t>'=NORM.DIST(40000,B5,B6,TRUE)</t>
        </is>
      </c>
      <c r="D9" s="11">
        <f>NORM.DIST(40000,B5,B6,TRUE)</f>
        <v/>
      </c>
      <c r="E9" s="12" t="inlineStr">
        <is>
          <t>~10.6% chance of earning less than $40K.</t>
        </is>
      </c>
    </row>
    <row r="10" ht="36" customHeight="1">
      <c r="A10" s="13" t="inlineStr">
        <is>
          <t>Q2: P(Revenue &gt; $60,000)</t>
        </is>
      </c>
      <c r="B10" s="9" t="inlineStr">
        <is>
          <t>60000</t>
        </is>
      </c>
      <c r="C10" s="10" t="inlineStr">
        <is>
          <t>'=1-NORM.DIST(60000,B5,B6,TRUE)</t>
        </is>
      </c>
      <c r="D10" s="11">
        <f>1-NORM.DIST(60000,B5,B6,TRUE)</f>
        <v/>
      </c>
      <c r="E10" s="14" t="inlineStr">
        <is>
          <t>~10.6% chance of earning more than $60K.</t>
        </is>
      </c>
    </row>
    <row r="11" ht="36" customHeight="1">
      <c r="A11" s="8" t="inlineStr">
        <is>
          <t>Q3: P($42K &lt; Revenue &lt; $58K)</t>
        </is>
      </c>
      <c r="B11" s="9" t="inlineStr">
        <is>
          <t>42000-58000</t>
        </is>
      </c>
      <c r="C11" s="10" t="inlineStr">
        <is>
          <t>'=NORM.DIST(58000,B5,B6,TRUE)-NORM.DIST(42000,B5,B6,TRUE)</t>
        </is>
      </c>
      <c r="D11" s="11">
        <f>NORM.DIST(58000,B5,B6,TRUE)-NORM.DIST(42000,B5,B6,TRUE)</f>
        <v/>
      </c>
      <c r="E11" s="12" t="inlineStr">
        <is>
          <t>~68.3% of days fall within ±1 standard deviation.</t>
        </is>
      </c>
    </row>
    <row r="12" ht="36" customHeight="1">
      <c r="A12" s="13" t="inlineStr">
        <is>
          <t>Q4: Revenue exceeded by top 5%</t>
        </is>
      </c>
      <c r="B12" s="9" t="inlineStr">
        <is>
          <t>Top 5%</t>
        </is>
      </c>
      <c r="C12" s="10" t="inlineStr">
        <is>
          <t>'=NORM.INV(0.95,B5,B6)</t>
        </is>
      </c>
      <c r="D12" s="15">
        <f>NORM.INV(0.95,B5,B6)</f>
        <v/>
      </c>
      <c r="E12" s="14" t="inlineStr">
        <is>
          <t>Only 5% of days exceed approximately $63,159.</t>
        </is>
      </c>
    </row>
    <row r="13" ht="36" customHeight="1">
      <c r="A13" s="8" t="inlineStr">
        <is>
          <t>Q5: 25th percentile of revenue</t>
        </is>
      </c>
      <c r="B13" s="9" t="inlineStr">
        <is>
          <t>25th pctile</t>
        </is>
      </c>
      <c r="C13" s="10" t="inlineStr">
        <is>
          <t>'=NORM.INV(0.25,B5,B6)</t>
        </is>
      </c>
      <c r="D13" s="15">
        <f>NORM.INV(0.25,B5,B6)</f>
        <v/>
      </c>
      <c r="E13" s="12" t="inlineStr">
        <is>
          <t>25% of days revenue is below ~$44,604.</t>
        </is>
      </c>
    </row>
    <row r="16" ht="24" customHeight="1">
      <c r="A16" s="16" t="inlineStr">
        <is>
          <t>Z-Score Reference Table (Standard Normal)</t>
        </is>
      </c>
    </row>
    <row r="17">
      <c r="A17" s="7" t="inlineStr">
        <is>
          <t>Z-Score</t>
        </is>
      </c>
      <c r="B17" s="7" t="inlineStr">
        <is>
          <t>Cumulative P</t>
        </is>
      </c>
      <c r="C17" s="7" t="inlineStr">
        <is>
          <t>Density (PDF)</t>
        </is>
      </c>
      <c r="D17" s="7" t="inlineStr">
        <is>
          <t>Key Landmark</t>
        </is>
      </c>
    </row>
    <row r="18">
      <c r="A18" s="17" t="n">
        <v>-3</v>
      </c>
      <c r="B18" s="18">
        <f>NORM.DIST(-3,0,1,TRUE)</f>
        <v/>
      </c>
      <c r="C18" s="18">
        <f>NORM.DIST(-3,0,1,FALSE)</f>
        <v/>
      </c>
      <c r="D18" s="19" t="inlineStr">
        <is>
          <t>0.1% below</t>
        </is>
      </c>
    </row>
    <row r="19">
      <c r="A19" s="20" t="n">
        <v>-2.5</v>
      </c>
      <c r="B19" s="18">
        <f>NORM.DIST(-2.5,0,1,TRUE)</f>
        <v/>
      </c>
      <c r="C19" s="18">
        <f>NORM.DIST(-2.5,0,1,FALSE)</f>
        <v/>
      </c>
      <c r="D19" s="21" t="inlineStr"/>
    </row>
    <row r="20">
      <c r="A20" s="17" t="n">
        <v>-2</v>
      </c>
      <c r="B20" s="18">
        <f>NORM.DIST(-2,0,1,TRUE)</f>
        <v/>
      </c>
      <c r="C20" s="18">
        <f>NORM.DIST(-2,0,1,FALSE)</f>
        <v/>
      </c>
      <c r="D20" s="19" t="inlineStr">
        <is>
          <t>2.3% below</t>
        </is>
      </c>
    </row>
    <row r="21">
      <c r="A21" s="20" t="n">
        <v>-1.5</v>
      </c>
      <c r="B21" s="18">
        <f>NORM.DIST(-1.5,0,1,TRUE)</f>
        <v/>
      </c>
      <c r="C21" s="18">
        <f>NORM.DIST(-1.5,0,1,FALSE)</f>
        <v/>
      </c>
      <c r="D21" s="21" t="inlineStr"/>
    </row>
    <row r="22">
      <c r="A22" s="17" t="n">
        <v>-1</v>
      </c>
      <c r="B22" s="18">
        <f>NORM.DIST(-1,0,1,TRUE)</f>
        <v/>
      </c>
      <c r="C22" s="18">
        <f>NORM.DIST(-1,0,1,FALSE)</f>
        <v/>
      </c>
      <c r="D22" s="19" t="inlineStr">
        <is>
          <t>15.9% below</t>
        </is>
      </c>
    </row>
    <row r="23">
      <c r="A23" s="20" t="n">
        <v>-0.5</v>
      </c>
      <c r="B23" s="18">
        <f>NORM.DIST(-0.5,0,1,TRUE)</f>
        <v/>
      </c>
      <c r="C23" s="18">
        <f>NORM.DIST(-0.5,0,1,FALSE)</f>
        <v/>
      </c>
      <c r="D23" s="21" t="inlineStr"/>
    </row>
    <row r="24">
      <c r="A24" s="17" t="n">
        <v>0</v>
      </c>
      <c r="B24" s="18">
        <f>NORM.DIST(0,0,1,TRUE)</f>
        <v/>
      </c>
      <c r="C24" s="18">
        <f>NORM.DIST(0,0,1,FALSE)</f>
        <v/>
      </c>
      <c r="D24" s="19" t="inlineStr">
        <is>
          <t>50% below</t>
        </is>
      </c>
    </row>
    <row r="25">
      <c r="A25" s="20" t="n">
        <v>0.5</v>
      </c>
      <c r="B25" s="18">
        <f>NORM.DIST(0.5,0,1,TRUE)</f>
        <v/>
      </c>
      <c r="C25" s="18">
        <f>NORM.DIST(0.5,0,1,FALSE)</f>
        <v/>
      </c>
      <c r="D25" s="21" t="inlineStr"/>
    </row>
    <row r="26">
      <c r="A26" s="17" t="n">
        <v>1</v>
      </c>
      <c r="B26" s="18">
        <f>NORM.DIST(1,0,1,TRUE)</f>
        <v/>
      </c>
      <c r="C26" s="18">
        <f>NORM.DIST(1,0,1,FALSE)</f>
        <v/>
      </c>
      <c r="D26" s="19" t="inlineStr">
        <is>
          <t>84.1% below</t>
        </is>
      </c>
    </row>
    <row r="27">
      <c r="A27" s="20" t="n">
        <v>1.5</v>
      </c>
      <c r="B27" s="18">
        <f>NORM.DIST(1.5,0,1,TRUE)</f>
        <v/>
      </c>
      <c r="C27" s="18">
        <f>NORM.DIST(1.5,0,1,FALSE)</f>
        <v/>
      </c>
      <c r="D27" s="21" t="inlineStr"/>
    </row>
    <row r="28">
      <c r="A28" s="17" t="n">
        <v>2</v>
      </c>
      <c r="B28" s="18">
        <f>NORM.DIST(2,0,1,TRUE)</f>
        <v/>
      </c>
      <c r="C28" s="18">
        <f>NORM.DIST(2,0,1,FALSE)</f>
        <v/>
      </c>
      <c r="D28" s="19" t="inlineStr">
        <is>
          <t>97.7% below</t>
        </is>
      </c>
    </row>
    <row r="29">
      <c r="A29" s="20" t="n">
        <v>2.5</v>
      </c>
      <c r="B29" s="18">
        <f>NORM.DIST(2.5,0,1,TRUE)</f>
        <v/>
      </c>
      <c r="C29" s="18">
        <f>NORM.DIST(2.5,0,1,FALSE)</f>
        <v/>
      </c>
      <c r="D29" s="21" t="inlineStr"/>
    </row>
    <row r="30">
      <c r="A30" s="17" t="n">
        <v>3</v>
      </c>
      <c r="B30" s="18">
        <f>NORM.DIST(3,0,1,TRUE)</f>
        <v/>
      </c>
      <c r="C30" s="18">
        <f>NORM.DIST(3,0,1,FALSE)</f>
        <v/>
      </c>
      <c r="D30" s="19" t="inlineStr">
        <is>
          <t>99.9% below</t>
        </is>
      </c>
    </row>
    <row r="33">
      <c r="A33" s="22" t="inlineStr">
        <is>
          <t>✏️ Practice: Change µ to $65,000 and σ to $10,000. Recalculate all five questions. What changed and why?</t>
        </is>
      </c>
    </row>
  </sheetData>
  <mergeCells count="5">
    <mergeCell ref="A2:E2"/>
    <mergeCell ref="A33:E33"/>
    <mergeCell ref="A1:E1"/>
    <mergeCell ref="A16:D1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14" customWidth="1" min="4" max="4"/>
    <col width="38" customWidth="1" min="5" max="5"/>
  </cols>
  <sheetData>
    <row r="1" ht="30" customHeight="1">
      <c r="A1" s="1" t="inlineStr">
        <is>
          <t>Binomial Distribution — BINOM.DIST (Objective 5)</t>
        </is>
      </c>
    </row>
    <row r="2" ht="50" customHeight="1">
      <c r="A2" s="2" t="inlineStr">
        <is>
          <t>Use BINOM.DIST when: (1) fixed number of trials n, (2) each trial = success or failure, (3) probability p is constant, (4) trials are independent. Use FALSE for exact probability; TRUE for cumulative P(X ≤ x).</t>
        </is>
      </c>
    </row>
    <row r="4">
      <c r="A4" s="3" t="inlineStr">
        <is>
          <t>Inputs</t>
        </is>
      </c>
      <c r="B4" s="3" t="inlineStr">
        <is>
          <t>Value</t>
        </is>
      </c>
      <c r="C4" s="3" t="inlineStr"/>
      <c r="E4" s="3" t="inlineStr">
        <is>
          <t>Scenario</t>
        </is>
      </c>
    </row>
    <row r="5">
      <c r="A5" s="4" t="inlineStr">
        <is>
          <t>n — Number of trials</t>
        </is>
      </c>
      <c r="B5" s="23" t="n">
        <v>20</v>
      </c>
      <c r="E5" s="6" t="inlineStr">
        <is>
          <t>A quality inspector checks 20 products per shift.</t>
        </is>
      </c>
    </row>
    <row r="6">
      <c r="A6" s="4" t="inlineStr">
        <is>
          <t>p — Probability of defect</t>
        </is>
      </c>
      <c r="B6" s="24" t="n">
        <v>0.08</v>
      </c>
      <c r="E6" s="6" t="inlineStr">
        <is>
          <t>Historical defect rate = 8% per item.</t>
        </is>
      </c>
    </row>
    <row r="8">
      <c r="A8" s="7" t="inlineStr">
        <is>
          <t>Question</t>
        </is>
      </c>
      <c r="B8" s="7" t="inlineStr">
        <is>
          <t>x</t>
        </is>
      </c>
      <c r="C8" s="7" t="inlineStr">
        <is>
          <t>Formula to Enter</t>
        </is>
      </c>
      <c r="D8" s="7" t="inlineStr">
        <is>
          <t>Result</t>
        </is>
      </c>
      <c r="E8" s="7" t="inlineStr">
        <is>
          <t>Interpretation</t>
        </is>
      </c>
    </row>
    <row r="9" ht="30" customHeight="1">
      <c r="A9" s="8" t="inlineStr">
        <is>
          <t>Exactly 0 defects</t>
        </is>
      </c>
      <c r="B9" s="9" t="n">
        <v>0</v>
      </c>
      <c r="C9" s="10" t="inlineStr">
        <is>
          <t>'=BINOM.DIST(0,B5,B6,FALSE)</t>
        </is>
      </c>
      <c r="D9" s="11">
        <f>BINOM.DIST(0,B5,B6,FALSE)</f>
        <v/>
      </c>
      <c r="E9" s="12" t="inlineStr">
        <is>
          <t>Probability that all 20 items pass inspection.</t>
        </is>
      </c>
    </row>
    <row r="10" ht="30" customHeight="1">
      <c r="A10" s="13" t="inlineStr">
        <is>
          <t>Exactly 2 defects</t>
        </is>
      </c>
      <c r="B10" s="9" t="n">
        <v>2</v>
      </c>
      <c r="C10" s="10" t="inlineStr">
        <is>
          <t>'=BINOM.DIST(2,B5,B6,FALSE)</t>
        </is>
      </c>
      <c r="D10" s="11">
        <f>BINOM.DIST(2,B5,B6,FALSE)</f>
        <v/>
      </c>
      <c r="E10" s="14" t="inlineStr">
        <is>
          <t>Probability of exactly 2 defectives.</t>
        </is>
      </c>
    </row>
    <row r="11" ht="30" customHeight="1">
      <c r="A11" s="8" t="inlineStr">
        <is>
          <t>At most 3 defects (cumulative ≤3)</t>
        </is>
      </c>
      <c r="B11" s="9" t="n">
        <v>3</v>
      </c>
      <c r="C11" s="10" t="inlineStr">
        <is>
          <t>'=BINOM.DIST(3,B5,B6,TRUE)</t>
        </is>
      </c>
      <c r="D11" s="11">
        <f>BINOM.DIST(3,B5,B6,TRUE)</f>
        <v/>
      </c>
      <c r="E11" s="12" t="inlineStr">
        <is>
          <t>TRUE = cumulative. P(X ≤ 3).</t>
        </is>
      </c>
    </row>
    <row r="12" ht="30" customHeight="1">
      <c r="A12" s="13" t="inlineStr">
        <is>
          <t>More than 2 defects</t>
        </is>
      </c>
      <c r="B12" s="9" t="inlineStr">
        <is>
          <t>&gt;2</t>
        </is>
      </c>
      <c r="C12" s="10" t="inlineStr">
        <is>
          <t>'=1-BINOM.DIST(2,B5,B6,TRUE)</t>
        </is>
      </c>
      <c r="D12" s="11">
        <f>1-BINOM.DIST(2,B5,B6,TRUE)</f>
        <v/>
      </c>
      <c r="E12" s="14" t="inlineStr">
        <is>
          <t>Complement rule: 1 − P(X≤2).</t>
        </is>
      </c>
    </row>
    <row r="13" ht="30" customHeight="1">
      <c r="A13" s="8" t="inlineStr">
        <is>
          <t>Between 1 and 4 (inclusive)</t>
        </is>
      </c>
      <c r="B13" s="9" t="inlineStr">
        <is>
          <t>1 to 4</t>
        </is>
      </c>
      <c r="C13" s="10" t="inlineStr">
        <is>
          <t>'=BINOM.DIST(4,B5,B6,TRUE)-BINOM.DIST(0,B5,B6,TRUE)</t>
        </is>
      </c>
      <c r="D13" s="11">
        <f>BINOM.DIST(4,B5,B6,TRUE)-BINOM.DIST(0,B5,B6,TRUE)</f>
        <v/>
      </c>
      <c r="E13" s="12" t="inlineStr">
        <is>
          <t>P(1≤X≤4) = P(X≤4) − P(X=0).</t>
        </is>
      </c>
    </row>
    <row r="16" ht="24" customHeight="1">
      <c r="A16" s="16" t="inlineStr">
        <is>
          <t>Full Distribution Table (x = 0 to 20)</t>
        </is>
      </c>
    </row>
    <row r="17">
      <c r="A17" s="7" t="inlineStr">
        <is>
          <t>x (# defects)</t>
        </is>
      </c>
      <c r="B17" s="7" t="inlineStr">
        <is>
          <t>P(X = x) Exact</t>
        </is>
      </c>
      <c r="C17" s="7" t="inlineStr">
        <is>
          <t>P(X ≤ x) Cumulative</t>
        </is>
      </c>
    </row>
    <row r="18">
      <c r="A18" s="17" t="n">
        <v>0</v>
      </c>
      <c r="B18" s="25">
        <f>BINOM.DIST(0,B5,B6,FALSE)</f>
        <v/>
      </c>
      <c r="C18" s="25">
        <f>BINOM.DIST(0,B5,B6,TRUE)</f>
        <v/>
      </c>
    </row>
    <row r="19">
      <c r="A19" s="20" t="n">
        <v>1</v>
      </c>
      <c r="B19" s="25">
        <f>BINOM.DIST(1,B5,B6,FALSE)</f>
        <v/>
      </c>
      <c r="C19" s="25">
        <f>BINOM.DIST(1,B5,B6,TRUE)</f>
        <v/>
      </c>
    </row>
    <row r="20">
      <c r="A20" s="17" t="n">
        <v>2</v>
      </c>
      <c r="B20" s="25">
        <f>BINOM.DIST(2,B5,B6,FALSE)</f>
        <v/>
      </c>
      <c r="C20" s="25">
        <f>BINOM.DIST(2,B5,B6,TRUE)</f>
        <v/>
      </c>
    </row>
    <row r="21">
      <c r="A21" s="20" t="n">
        <v>3</v>
      </c>
      <c r="B21" s="25">
        <f>BINOM.DIST(3,B5,B6,FALSE)</f>
        <v/>
      </c>
      <c r="C21" s="25">
        <f>BINOM.DIST(3,B5,B6,TRUE)</f>
        <v/>
      </c>
    </row>
    <row r="22">
      <c r="A22" s="17" t="n">
        <v>4</v>
      </c>
      <c r="B22" s="25">
        <f>BINOM.DIST(4,B5,B6,FALSE)</f>
        <v/>
      </c>
      <c r="C22" s="25">
        <f>BINOM.DIST(4,B5,B6,TRUE)</f>
        <v/>
      </c>
    </row>
    <row r="23">
      <c r="A23" s="20" t="n">
        <v>5</v>
      </c>
      <c r="B23" s="25">
        <f>BINOM.DIST(5,B5,B6,FALSE)</f>
        <v/>
      </c>
      <c r="C23" s="25">
        <f>BINOM.DIST(5,B5,B6,TRUE)</f>
        <v/>
      </c>
    </row>
    <row r="24">
      <c r="A24" s="17" t="n">
        <v>6</v>
      </c>
      <c r="B24" s="25">
        <f>BINOM.DIST(6,B5,B6,FALSE)</f>
        <v/>
      </c>
      <c r="C24" s="25">
        <f>BINOM.DIST(6,B5,B6,TRUE)</f>
        <v/>
      </c>
    </row>
    <row r="25">
      <c r="A25" s="20" t="n">
        <v>7</v>
      </c>
      <c r="B25" s="25">
        <f>BINOM.DIST(7,B5,B6,FALSE)</f>
        <v/>
      </c>
      <c r="C25" s="25">
        <f>BINOM.DIST(7,B5,B6,TRUE)</f>
        <v/>
      </c>
    </row>
    <row r="26">
      <c r="A26" s="17" t="n">
        <v>8</v>
      </c>
      <c r="B26" s="25">
        <f>BINOM.DIST(8,B5,B6,FALSE)</f>
        <v/>
      </c>
      <c r="C26" s="25">
        <f>BINOM.DIST(8,B5,B6,TRUE)</f>
        <v/>
      </c>
    </row>
    <row r="27">
      <c r="A27" s="20" t="n">
        <v>9</v>
      </c>
      <c r="B27" s="25">
        <f>BINOM.DIST(9,B5,B6,FALSE)</f>
        <v/>
      </c>
      <c r="C27" s="25">
        <f>BINOM.DIST(9,B5,B6,TRUE)</f>
        <v/>
      </c>
    </row>
    <row r="28">
      <c r="A28" s="17" t="n">
        <v>10</v>
      </c>
      <c r="B28" s="25">
        <f>BINOM.DIST(10,B5,B6,FALSE)</f>
        <v/>
      </c>
      <c r="C28" s="25">
        <f>BINOM.DIST(10,B5,B6,TRUE)</f>
        <v/>
      </c>
    </row>
    <row r="29">
      <c r="A29" s="20" t="n">
        <v>11</v>
      </c>
      <c r="B29" s="25">
        <f>BINOM.DIST(11,B5,B6,FALSE)</f>
        <v/>
      </c>
      <c r="C29" s="25">
        <f>BINOM.DIST(11,B5,B6,TRUE)</f>
        <v/>
      </c>
    </row>
    <row r="30">
      <c r="A30" s="17" t="n">
        <v>12</v>
      </c>
      <c r="B30" s="25">
        <f>BINOM.DIST(12,B5,B6,FALSE)</f>
        <v/>
      </c>
      <c r="C30" s="25">
        <f>BINOM.DIST(12,B5,B6,TRUE)</f>
        <v/>
      </c>
    </row>
    <row r="31">
      <c r="A31" s="20" t="n">
        <v>13</v>
      </c>
      <c r="B31" s="25">
        <f>BINOM.DIST(13,B5,B6,FALSE)</f>
        <v/>
      </c>
      <c r="C31" s="25">
        <f>BINOM.DIST(13,B5,B6,TRUE)</f>
        <v/>
      </c>
    </row>
    <row r="32">
      <c r="A32" s="17" t="n">
        <v>14</v>
      </c>
      <c r="B32" s="25">
        <f>BINOM.DIST(14,B5,B6,FALSE)</f>
        <v/>
      </c>
      <c r="C32" s="25">
        <f>BINOM.DIST(14,B5,B6,TRUE)</f>
        <v/>
      </c>
    </row>
    <row r="33">
      <c r="A33" s="20" t="n">
        <v>15</v>
      </c>
      <c r="B33" s="25">
        <f>BINOM.DIST(15,B5,B6,FALSE)</f>
        <v/>
      </c>
      <c r="C33" s="25">
        <f>BINOM.DIST(15,B5,B6,TRUE)</f>
        <v/>
      </c>
    </row>
    <row r="34">
      <c r="A34" s="17" t="n">
        <v>16</v>
      </c>
      <c r="B34" s="25">
        <f>BINOM.DIST(16,B5,B6,FALSE)</f>
        <v/>
      </c>
      <c r="C34" s="25">
        <f>BINOM.DIST(16,B5,B6,TRUE)</f>
        <v/>
      </c>
    </row>
    <row r="35">
      <c r="A35" s="20" t="n">
        <v>17</v>
      </c>
      <c r="B35" s="25">
        <f>BINOM.DIST(17,B5,B6,FALSE)</f>
        <v/>
      </c>
      <c r="C35" s="25">
        <f>BINOM.DIST(17,B5,B6,TRUE)</f>
        <v/>
      </c>
    </row>
    <row r="36">
      <c r="A36" s="17" t="n">
        <v>18</v>
      </c>
      <c r="B36" s="25">
        <f>BINOM.DIST(18,B5,B6,FALSE)</f>
        <v/>
      </c>
      <c r="C36" s="25">
        <f>BINOM.DIST(18,B5,B6,TRUE)</f>
        <v/>
      </c>
    </row>
    <row r="37">
      <c r="A37" s="20" t="n">
        <v>19</v>
      </c>
      <c r="B37" s="25">
        <f>BINOM.DIST(19,B5,B6,FALSE)</f>
        <v/>
      </c>
      <c r="C37" s="25">
        <f>BINOM.DIST(19,B5,B6,TRUE)</f>
        <v/>
      </c>
    </row>
    <row r="38">
      <c r="A38" s="17" t="n">
        <v>20</v>
      </c>
      <c r="B38" s="25">
        <f>BINOM.DIST(20,B5,B6,FALSE)</f>
        <v/>
      </c>
      <c r="C38" s="25">
        <f>BINOM.DIST(20,B5,B6,TRUE)</f>
        <v/>
      </c>
    </row>
  </sheetData>
  <mergeCells count="4">
    <mergeCell ref="A2:E2"/>
    <mergeCell ref="A1:E1"/>
    <mergeCell ref="A16:C1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  <col width="14" customWidth="1" min="4" max="4"/>
    <col width="38" customWidth="1" min="5" max="5"/>
  </cols>
  <sheetData>
    <row r="1" ht="30" customHeight="1">
      <c r="A1" s="1" t="inlineStr">
        <is>
          <t>Poisson Distribution — POISSON.DIST (Objective 5)</t>
        </is>
      </c>
    </row>
    <row r="2" ht="50" customHeight="1">
      <c r="A2" s="2" t="inlineStr">
        <is>
          <t>Use POISSON.DIST when counting the number of events in a fixed interval (time, space, etc.) — events occur independently at a known average rate λ (lambda). Examples: customer arrivals/hour, server errors/day, support calls/shift.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/>
      <c r="E4" s="3" t="inlineStr">
        <is>
          <t>Scenario</t>
        </is>
      </c>
    </row>
    <row r="5">
      <c r="A5" s="4" t="inlineStr">
        <is>
          <t>λ (lambda) — Avg arrivals per hour</t>
        </is>
      </c>
      <c r="B5" s="23" t="n">
        <v>12</v>
      </c>
      <c r="E5" s="6" t="inlineStr">
        <is>
          <t>A coffee shop averages 12 customer arrivals per hour.</t>
        </is>
      </c>
    </row>
    <row r="7">
      <c r="A7" s="7" t="inlineStr">
        <is>
          <t>Question</t>
        </is>
      </c>
      <c r="B7" s="7" t="inlineStr">
        <is>
          <t>x</t>
        </is>
      </c>
      <c r="C7" s="7" t="inlineStr">
        <is>
          <t>Formula to Enter</t>
        </is>
      </c>
      <c r="D7" s="7" t="inlineStr">
        <is>
          <t>Result</t>
        </is>
      </c>
      <c r="E7" s="7" t="inlineStr">
        <is>
          <t>Interpretation</t>
        </is>
      </c>
    </row>
    <row r="8" ht="30" customHeight="1">
      <c r="A8" s="8" t="inlineStr">
        <is>
          <t>Exactly 10 customers arrive</t>
        </is>
      </c>
      <c r="B8" s="9" t="n">
        <v>10</v>
      </c>
      <c r="C8" s="10" t="inlineStr">
        <is>
          <t>'=POISSON.DIST(10,B5,FALSE)</t>
        </is>
      </c>
      <c r="D8" s="11">
        <f>POISSON.DIST(10,B5,FALSE)</f>
        <v/>
      </c>
      <c r="E8" s="12" t="inlineStr">
        <is>
          <t>Probability of exactly 10 arrivals in an hour.</t>
        </is>
      </c>
    </row>
    <row r="9" ht="30" customHeight="1">
      <c r="A9" s="13" t="inlineStr">
        <is>
          <t>Fewer than 8 customers (&lt;8)</t>
        </is>
      </c>
      <c r="B9" s="9" t="n">
        <v>7</v>
      </c>
      <c r="C9" s="10" t="inlineStr">
        <is>
          <t>'=POISSON.DIST(7,B5,TRUE)</t>
        </is>
      </c>
      <c r="D9" s="11">
        <f>POISSON.DIST(7,B5,TRUE)</f>
        <v/>
      </c>
      <c r="E9" s="14" t="inlineStr">
        <is>
          <t>P(X≤7) — staff may be underutilized.</t>
        </is>
      </c>
    </row>
    <row r="10" ht="30" customHeight="1">
      <c r="A10" s="8" t="inlineStr">
        <is>
          <t>More than 15 customers (&gt;15)</t>
        </is>
      </c>
      <c r="B10" s="9" t="inlineStr">
        <is>
          <t>&gt;15</t>
        </is>
      </c>
      <c r="C10" s="10" t="inlineStr">
        <is>
          <t>'=1-POISSON.DIST(15,B5,TRUE)</t>
        </is>
      </c>
      <c r="D10" s="11">
        <f>1-POISSON.DIST(15,B5,TRUE)</f>
        <v/>
      </c>
      <c r="E10" s="12" t="inlineStr">
        <is>
          <t>Risk of overcrowding/long waits.</t>
        </is>
      </c>
    </row>
    <row r="11" ht="30" customHeight="1">
      <c r="A11" s="13" t="inlineStr">
        <is>
          <t>Between 10 and 14 (inclusive)</t>
        </is>
      </c>
      <c r="B11" s="9" t="inlineStr">
        <is>
          <t>10-14</t>
        </is>
      </c>
      <c r="C11" s="10" t="inlineStr">
        <is>
          <t>'=POISSON.DIST(14,B5,TRUE)-POISSON.DIST(9,B5,TRUE)</t>
        </is>
      </c>
      <c r="D11" s="11">
        <f>POISSON.DIST(14,B5,TRUE)-POISSON.DIST(9,B5,TRUE)</f>
        <v/>
      </c>
      <c r="E11" s="14" t="inlineStr">
        <is>
          <t>Optimal staffing range.</t>
        </is>
      </c>
    </row>
    <row r="12" ht="30" customHeight="1">
      <c r="A12" s="8" t="inlineStr">
        <is>
          <t>Zero customers in an hour</t>
        </is>
      </c>
      <c r="B12" s="9" t="n">
        <v>0</v>
      </c>
      <c r="C12" s="10" t="inlineStr">
        <is>
          <t>'=POISSON.DIST(0,B5,FALSE)</t>
        </is>
      </c>
      <c r="D12" s="11">
        <f>POISSON.DIST(0,B5,FALSE)</f>
        <v/>
      </c>
      <c r="E12" s="12" t="inlineStr">
        <is>
          <t>Extremely rare when λ=12.</t>
        </is>
      </c>
    </row>
    <row r="14" ht="24" customHeight="1">
      <c r="A14" s="16" t="inlineStr">
        <is>
          <t>Distribution Table (x = 0 to 20)</t>
        </is>
      </c>
    </row>
    <row r="15">
      <c r="A15" s="7" t="inlineStr">
        <is>
          <t>x (# arrivals)</t>
        </is>
      </c>
      <c r="B15" s="7" t="inlineStr">
        <is>
          <t>P(X=x)</t>
        </is>
      </c>
      <c r="C15" s="7" t="inlineStr">
        <is>
          <t>P(X≤x)</t>
        </is>
      </c>
    </row>
    <row r="16">
      <c r="A16" s="17" t="n">
        <v>0</v>
      </c>
      <c r="B16" s="25">
        <f>POISSON.DIST(0,B5,FALSE)</f>
        <v/>
      </c>
      <c r="C16" s="25">
        <f>POISSON.DIST(0,B5,TRUE)</f>
        <v/>
      </c>
    </row>
    <row r="17">
      <c r="A17" s="20" t="n">
        <v>1</v>
      </c>
      <c r="B17" s="25">
        <f>POISSON.DIST(1,B5,FALSE)</f>
        <v/>
      </c>
      <c r="C17" s="25">
        <f>POISSON.DIST(1,B5,TRUE)</f>
        <v/>
      </c>
    </row>
    <row r="18">
      <c r="A18" s="17" t="n">
        <v>2</v>
      </c>
      <c r="B18" s="25">
        <f>POISSON.DIST(2,B5,FALSE)</f>
        <v/>
      </c>
      <c r="C18" s="25">
        <f>POISSON.DIST(2,B5,TRUE)</f>
        <v/>
      </c>
    </row>
    <row r="19">
      <c r="A19" s="20" t="n">
        <v>3</v>
      </c>
      <c r="B19" s="25">
        <f>POISSON.DIST(3,B5,FALSE)</f>
        <v/>
      </c>
      <c r="C19" s="25">
        <f>POISSON.DIST(3,B5,TRUE)</f>
        <v/>
      </c>
    </row>
    <row r="20">
      <c r="A20" s="17" t="n">
        <v>4</v>
      </c>
      <c r="B20" s="25">
        <f>POISSON.DIST(4,B5,FALSE)</f>
        <v/>
      </c>
      <c r="C20" s="25">
        <f>POISSON.DIST(4,B5,TRUE)</f>
        <v/>
      </c>
    </row>
    <row r="21">
      <c r="A21" s="20" t="n">
        <v>5</v>
      </c>
      <c r="B21" s="25">
        <f>POISSON.DIST(5,B5,FALSE)</f>
        <v/>
      </c>
      <c r="C21" s="25">
        <f>POISSON.DIST(5,B5,TRUE)</f>
        <v/>
      </c>
    </row>
    <row r="22">
      <c r="A22" s="17" t="n">
        <v>6</v>
      </c>
      <c r="B22" s="25">
        <f>POISSON.DIST(6,B5,FALSE)</f>
        <v/>
      </c>
      <c r="C22" s="25">
        <f>POISSON.DIST(6,B5,TRUE)</f>
        <v/>
      </c>
    </row>
    <row r="23">
      <c r="A23" s="20" t="n">
        <v>7</v>
      </c>
      <c r="B23" s="25">
        <f>POISSON.DIST(7,B5,FALSE)</f>
        <v/>
      </c>
      <c r="C23" s="25">
        <f>POISSON.DIST(7,B5,TRUE)</f>
        <v/>
      </c>
    </row>
    <row r="24">
      <c r="A24" s="17" t="n">
        <v>8</v>
      </c>
      <c r="B24" s="25">
        <f>POISSON.DIST(8,B5,FALSE)</f>
        <v/>
      </c>
      <c r="C24" s="25">
        <f>POISSON.DIST(8,B5,TRUE)</f>
        <v/>
      </c>
    </row>
    <row r="25">
      <c r="A25" s="20" t="n">
        <v>9</v>
      </c>
      <c r="B25" s="25">
        <f>POISSON.DIST(9,B5,FALSE)</f>
        <v/>
      </c>
      <c r="C25" s="25">
        <f>POISSON.DIST(9,B5,TRUE)</f>
        <v/>
      </c>
    </row>
    <row r="26">
      <c r="A26" s="17" t="n">
        <v>10</v>
      </c>
      <c r="B26" s="25">
        <f>POISSON.DIST(10,B5,FALSE)</f>
        <v/>
      </c>
      <c r="C26" s="25">
        <f>POISSON.DIST(10,B5,TRUE)</f>
        <v/>
      </c>
    </row>
    <row r="27">
      <c r="A27" s="20" t="n">
        <v>11</v>
      </c>
      <c r="B27" s="25">
        <f>POISSON.DIST(11,B5,FALSE)</f>
        <v/>
      </c>
      <c r="C27" s="25">
        <f>POISSON.DIST(11,B5,TRUE)</f>
        <v/>
      </c>
    </row>
    <row r="28">
      <c r="A28" s="17" t="n">
        <v>12</v>
      </c>
      <c r="B28" s="25">
        <f>POISSON.DIST(12,B5,FALSE)</f>
        <v/>
      </c>
      <c r="C28" s="25">
        <f>POISSON.DIST(12,B5,TRUE)</f>
        <v/>
      </c>
    </row>
    <row r="29">
      <c r="A29" s="20" t="n">
        <v>13</v>
      </c>
      <c r="B29" s="25">
        <f>POISSON.DIST(13,B5,FALSE)</f>
        <v/>
      </c>
      <c r="C29" s="25">
        <f>POISSON.DIST(13,B5,TRUE)</f>
        <v/>
      </c>
    </row>
    <row r="30">
      <c r="A30" s="17" t="n">
        <v>14</v>
      </c>
      <c r="B30" s="25">
        <f>POISSON.DIST(14,B5,FALSE)</f>
        <v/>
      </c>
      <c r="C30" s="25">
        <f>POISSON.DIST(14,B5,TRUE)</f>
        <v/>
      </c>
    </row>
    <row r="31">
      <c r="A31" s="20" t="n">
        <v>15</v>
      </c>
      <c r="B31" s="25">
        <f>POISSON.DIST(15,B5,FALSE)</f>
        <v/>
      </c>
      <c r="C31" s="25">
        <f>POISSON.DIST(15,B5,TRUE)</f>
        <v/>
      </c>
    </row>
    <row r="32">
      <c r="A32" s="17" t="n">
        <v>16</v>
      </c>
      <c r="B32" s="25">
        <f>POISSON.DIST(16,B5,FALSE)</f>
        <v/>
      </c>
      <c r="C32" s="25">
        <f>POISSON.DIST(16,B5,TRUE)</f>
        <v/>
      </c>
    </row>
    <row r="33">
      <c r="A33" s="20" t="n">
        <v>17</v>
      </c>
      <c r="B33" s="25">
        <f>POISSON.DIST(17,B5,FALSE)</f>
        <v/>
      </c>
      <c r="C33" s="25">
        <f>POISSON.DIST(17,B5,TRUE)</f>
        <v/>
      </c>
    </row>
    <row r="34">
      <c r="A34" s="17" t="n">
        <v>18</v>
      </c>
      <c r="B34" s="25">
        <f>POISSON.DIST(18,B5,FALSE)</f>
        <v/>
      </c>
      <c r="C34" s="25">
        <f>POISSON.DIST(18,B5,TRUE)</f>
        <v/>
      </c>
    </row>
    <row r="35">
      <c r="A35" s="20" t="n">
        <v>19</v>
      </c>
      <c r="B35" s="25">
        <f>POISSON.DIST(19,B5,FALSE)</f>
        <v/>
      </c>
      <c r="C35" s="25">
        <f>POISSON.DIST(19,B5,TRUE)</f>
        <v/>
      </c>
    </row>
    <row r="36">
      <c r="A36" s="17" t="n">
        <v>20</v>
      </c>
      <c r="B36" s="25">
        <f>POISSON.DIST(20,B5,FALSE)</f>
        <v/>
      </c>
      <c r="C36" s="25">
        <f>POISSON.DIST(20,B5,TRUE)</f>
        <v/>
      </c>
    </row>
  </sheetData>
  <mergeCells count="4">
    <mergeCell ref="A2:E2"/>
    <mergeCell ref="A1:E1"/>
    <mergeCell ref="A14:C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2026-05-29T14:20:57Z</dcterms:created>
  <dcterms:modified xsi:type="dcterms:W3CDTF">2026-05-29T14:20:57Z</dcterms:modified>
</cp:coreProperties>
</file>