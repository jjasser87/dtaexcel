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_Data" sheetId="1" state="visible" r:id="rId1"/>
    <sheet name="FORECAST_Functions" sheetId="2" state="visible" r:id="rId2"/>
    <sheet name="Forecasting_Concep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/>
    <font>
      <i val="1"/>
      <sz val="11"/>
    </font>
    <font>
      <b val="1"/>
      <sz val="11"/>
    </font>
    <font>
      <b val="1"/>
      <color rgb="00FFFFFF"/>
    </font>
    <font>
      <b val="1"/>
    </font>
    <font>
      <name val="Courier New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7F7F7"/>
      </patternFill>
    </fill>
    <fill>
      <patternFill patternType="solid">
        <fgColor rgb="00E2EFDA"/>
      </patternFill>
    </fill>
    <fill>
      <patternFill patternType="solid">
        <fgColor rgb="00EBF3FB"/>
      </patternFill>
    </fill>
    <fill>
      <patternFill patternType="solid">
        <fgColor rgb="00C6EFCE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/>
    </xf>
    <xf numFmtId="164" fontId="0" fillId="5" borderId="1" applyAlignment="1" pivotButton="0" quotePrefix="0" xfId="0">
      <alignment horizontal="center"/>
    </xf>
    <xf numFmtId="3" fontId="0" fillId="5" borderId="1" applyAlignment="1" pivotButton="0" quotePrefix="0" xfId="0">
      <alignment horizontal="center"/>
    </xf>
    <xf numFmtId="0" fontId="0" fillId="4" borderId="1" pivotButton="0" quotePrefix="0" xfId="0"/>
    <xf numFmtId="0" fontId="0" fillId="6" borderId="1" applyAlignment="1" pivotButton="0" quotePrefix="0" xfId="0">
      <alignment horizontal="center"/>
    </xf>
    <xf numFmtId="0" fontId="0" fillId="6" borderId="1" pivotButton="0" quotePrefix="0" xfId="0"/>
    <xf numFmtId="164" fontId="0" fillId="7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9" borderId="1" applyAlignment="1" pivotButton="0" quotePrefix="0" xfId="0">
      <alignment horizontal="center"/>
    </xf>
    <xf numFmtId="0" fontId="0" fillId="0" borderId="1" pivotButton="0" quotePrefix="0" xfId="0"/>
    <xf numFmtId="0" fontId="0" fillId="8" borderId="1" pivotButton="0" quotePrefix="0" xfId="0"/>
    <xf numFmtId="0" fontId="5" fillId="1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/>
    </xf>
    <xf numFmtId="0" fontId="6" fillId="4" borderId="1" applyAlignment="1" pivotButton="0" quotePrefix="0" xfId="0">
      <alignment vertical="top" wrapText="1"/>
    </xf>
    <xf numFmtId="0" fontId="7" fillId="6" borderId="1" applyAlignment="1" pivotButton="0" quotePrefix="0" xfId="0">
      <alignment wrapText="1"/>
    </xf>
    <xf numFmtId="0" fontId="2" fillId="4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7" fillId="4" borderId="1" applyAlignment="1" pivotButton="0" quotePrefix="0" xfId="0">
      <alignment vertical="top" wrapText="1"/>
    </xf>
    <xf numFmtId="0" fontId="7" fillId="6" borderId="1" applyAlignment="1" pivotButton="0" quotePrefix="0" xfId="0">
      <alignment vertical="top" wrapText="1"/>
    </xf>
    <xf numFmtId="0" fontId="3" fillId="5" borderId="0" applyAlignment="1" pivotButton="0" quotePrefix="0" xfId="0">
      <alignment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6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30" customHeight="1">
      <c r="A1" s="1" t="inlineStr">
        <is>
          <t>Historical Sales Data — 36 Months (Jan 2022 – Dec 2024)</t>
        </is>
      </c>
    </row>
    <row r="2" ht="40" customHeight="1">
      <c r="A2" s="2" t="inlineStr">
        <is>
          <t>This dataset contains 36 months of retail sales with a clear upward trend and seasonal pattern. We will use this data to build forecasts with FORECAST.LINEAR and FORECAST.ETS, and compare their accuracy.</t>
        </is>
      </c>
    </row>
    <row r="4">
      <c r="A4" s="3" t="inlineStr">
        <is>
          <t>Period #</t>
        </is>
      </c>
      <c r="B4" s="3" t="inlineStr">
        <is>
          <t>Date</t>
        </is>
      </c>
      <c r="C4" s="3" t="inlineStr">
        <is>
          <t>Revenue ($K)</t>
        </is>
      </c>
      <c r="D4" s="3" t="inlineStr">
        <is>
          <t>Units Sold</t>
        </is>
      </c>
      <c r="E4" s="3" t="inlineStr">
        <is>
          <t>Online Orders</t>
        </is>
      </c>
      <c r="F4" s="3" t="inlineStr">
        <is>
          <t>Store Traffic</t>
        </is>
      </c>
      <c r="G4" s="3" t="inlineStr">
        <is>
          <t>Notes</t>
        </is>
      </c>
    </row>
    <row r="5">
      <c r="A5" s="4" t="n">
        <v>1</v>
      </c>
      <c r="B5" s="4" t="inlineStr">
        <is>
          <t>Jan 2022</t>
        </is>
      </c>
      <c r="C5" s="5" t="n">
        <v>55.9</v>
      </c>
      <c r="D5" s="6" t="n">
        <v>791</v>
      </c>
      <c r="E5" s="6" t="n">
        <v>308</v>
      </c>
      <c r="F5" s="6" t="n">
        <v>4721</v>
      </c>
      <c r="G5" s="7" t="inlineStr"/>
    </row>
    <row r="6">
      <c r="A6" s="8" t="n">
        <v>2</v>
      </c>
      <c r="B6" s="8" t="inlineStr">
        <is>
          <t>Feb 2022</t>
        </is>
      </c>
      <c r="C6" s="5" t="n">
        <v>52.7</v>
      </c>
      <c r="D6" s="6" t="n">
        <v>752</v>
      </c>
      <c r="E6" s="6" t="n">
        <v>293</v>
      </c>
      <c r="F6" s="6" t="n">
        <v>4405</v>
      </c>
      <c r="G6" s="9" t="inlineStr"/>
    </row>
    <row r="7">
      <c r="A7" s="4" t="n">
        <v>3</v>
      </c>
      <c r="B7" s="4" t="inlineStr">
        <is>
          <t>Mar 2022</t>
        </is>
      </c>
      <c r="C7" s="5" t="n">
        <v>60.8</v>
      </c>
      <c r="D7" s="6" t="n">
        <v>895</v>
      </c>
      <c r="E7" s="6" t="n">
        <v>327</v>
      </c>
      <c r="F7" s="6" t="n">
        <v>5219</v>
      </c>
      <c r="G7" s="7" t="inlineStr"/>
    </row>
    <row r="8">
      <c r="A8" s="8" t="n">
        <v>4</v>
      </c>
      <c r="B8" s="8" t="inlineStr">
        <is>
          <t>Apr 2022</t>
        </is>
      </c>
      <c r="C8" s="5" t="n">
        <v>63.6</v>
      </c>
      <c r="D8" s="6" t="n">
        <v>903</v>
      </c>
      <c r="E8" s="6" t="n">
        <v>330</v>
      </c>
      <c r="F8" s="6" t="n">
        <v>5361</v>
      </c>
      <c r="G8" s="9" t="inlineStr"/>
    </row>
    <row r="9">
      <c r="A9" s="4" t="n">
        <v>5</v>
      </c>
      <c r="B9" s="4" t="inlineStr">
        <is>
          <t>May 2022</t>
        </is>
      </c>
      <c r="C9" s="5" t="n">
        <v>68.09999999999999</v>
      </c>
      <c r="D9" s="6" t="n">
        <v>1005</v>
      </c>
      <c r="E9" s="6" t="n">
        <v>366</v>
      </c>
      <c r="F9" s="6" t="n">
        <v>5831</v>
      </c>
      <c r="G9" s="7" t="inlineStr"/>
    </row>
    <row r="10">
      <c r="A10" s="8" t="n">
        <v>6</v>
      </c>
      <c r="B10" s="8" t="inlineStr">
        <is>
          <t>Jun 2022</t>
        </is>
      </c>
      <c r="C10" s="5" t="n">
        <v>70.8</v>
      </c>
      <c r="D10" s="6" t="n">
        <v>1040</v>
      </c>
      <c r="E10" s="6" t="n">
        <v>393</v>
      </c>
      <c r="F10" s="6" t="n">
        <v>5974</v>
      </c>
      <c r="G10" s="9" t="inlineStr"/>
    </row>
    <row r="11">
      <c r="A11" s="4" t="n">
        <v>7</v>
      </c>
      <c r="B11" s="4" t="inlineStr">
        <is>
          <t>Jul 2022</t>
        </is>
      </c>
      <c r="C11" s="5" t="n">
        <v>76.40000000000001</v>
      </c>
      <c r="D11" s="6" t="n">
        <v>1104</v>
      </c>
      <c r="E11" s="6" t="n">
        <v>429</v>
      </c>
      <c r="F11" s="6" t="n">
        <v>6395</v>
      </c>
      <c r="G11" s="7" t="inlineStr"/>
    </row>
    <row r="12">
      <c r="A12" s="8" t="n">
        <v>8</v>
      </c>
      <c r="B12" s="8" t="inlineStr">
        <is>
          <t>Aug 2022</t>
        </is>
      </c>
      <c r="C12" s="5" t="n">
        <v>77.40000000000001</v>
      </c>
      <c r="D12" s="6" t="n">
        <v>1112</v>
      </c>
      <c r="E12" s="6" t="n">
        <v>429</v>
      </c>
      <c r="F12" s="6" t="n">
        <v>6587</v>
      </c>
      <c r="G12" s="9" t="inlineStr"/>
    </row>
    <row r="13">
      <c r="A13" s="4" t="n">
        <v>9</v>
      </c>
      <c r="B13" s="4" t="inlineStr">
        <is>
          <t>Sep 2022</t>
        </is>
      </c>
      <c r="C13" s="5" t="n">
        <v>70.40000000000001</v>
      </c>
      <c r="D13" s="6" t="n">
        <v>1009</v>
      </c>
      <c r="E13" s="6" t="n">
        <v>374</v>
      </c>
      <c r="F13" s="6" t="n">
        <v>6079</v>
      </c>
      <c r="G13" s="7" t="inlineStr"/>
    </row>
    <row r="14">
      <c r="A14" s="8" t="n">
        <v>10</v>
      </c>
      <c r="B14" s="8" t="inlineStr">
        <is>
          <t>Oct 2022</t>
        </is>
      </c>
      <c r="C14" s="5" t="n">
        <v>69.8</v>
      </c>
      <c r="D14" s="6" t="n">
        <v>997</v>
      </c>
      <c r="E14" s="6" t="n">
        <v>375</v>
      </c>
      <c r="F14" s="6" t="n">
        <v>5857</v>
      </c>
      <c r="G14" s="9" t="inlineStr"/>
    </row>
    <row r="15">
      <c r="A15" s="4" t="n">
        <v>11</v>
      </c>
      <c r="B15" s="4" t="inlineStr">
        <is>
          <t>Nov 2022</t>
        </is>
      </c>
      <c r="C15" s="5" t="n">
        <v>80.8</v>
      </c>
      <c r="D15" s="6" t="n">
        <v>1173</v>
      </c>
      <c r="E15" s="6" t="n">
        <v>449</v>
      </c>
      <c r="F15" s="6" t="n">
        <v>6835</v>
      </c>
      <c r="G15" s="7" t="inlineStr"/>
    </row>
    <row r="16">
      <c r="A16" s="8" t="n">
        <v>12</v>
      </c>
      <c r="B16" s="8" t="inlineStr">
        <is>
          <t>Dec 2022</t>
        </is>
      </c>
      <c r="C16" s="5" t="n">
        <v>100.9</v>
      </c>
      <c r="D16" s="6" t="n">
        <v>1472</v>
      </c>
      <c r="E16" s="6" t="n">
        <v>561</v>
      </c>
      <c r="F16" s="6" t="n">
        <v>8507</v>
      </c>
      <c r="G16" s="9" t="inlineStr"/>
    </row>
    <row r="17">
      <c r="A17" s="4" t="n">
        <v>13</v>
      </c>
      <c r="B17" s="4" t="inlineStr">
        <is>
          <t>Jan 2023</t>
        </is>
      </c>
      <c r="C17" s="5" t="n">
        <v>65.59999999999999</v>
      </c>
      <c r="D17" s="6" t="n">
        <v>955</v>
      </c>
      <c r="E17" s="6" t="n">
        <v>349</v>
      </c>
      <c r="F17" s="6" t="n">
        <v>5616</v>
      </c>
      <c r="G17" s="7" t="inlineStr"/>
    </row>
    <row r="18">
      <c r="A18" s="8" t="n">
        <v>14</v>
      </c>
      <c r="B18" s="8" t="inlineStr">
        <is>
          <t>Feb 2023</t>
        </is>
      </c>
      <c r="C18" s="5" t="n">
        <v>60.6</v>
      </c>
      <c r="D18" s="6" t="n">
        <v>898</v>
      </c>
      <c r="E18" s="6" t="n">
        <v>345</v>
      </c>
      <c r="F18" s="6" t="n">
        <v>5143</v>
      </c>
      <c r="G18" s="9" t="inlineStr"/>
    </row>
    <row r="19">
      <c r="A19" s="4" t="n">
        <v>15</v>
      </c>
      <c r="B19" s="4" t="inlineStr">
        <is>
          <t>Mar 2023</t>
        </is>
      </c>
      <c r="C19" s="5" t="n">
        <v>68.7</v>
      </c>
      <c r="D19" s="6" t="n">
        <v>980</v>
      </c>
      <c r="E19" s="6" t="n">
        <v>358</v>
      </c>
      <c r="F19" s="6" t="n">
        <v>5908</v>
      </c>
      <c r="G19" s="7" t="inlineStr"/>
    </row>
    <row r="20">
      <c r="A20" s="8" t="n">
        <v>16</v>
      </c>
      <c r="B20" s="8" t="inlineStr">
        <is>
          <t>Apr 2023</t>
        </is>
      </c>
      <c r="C20" s="5" t="n">
        <v>71.5</v>
      </c>
      <c r="D20" s="6" t="n">
        <v>1034</v>
      </c>
      <c r="E20" s="6" t="n">
        <v>379</v>
      </c>
      <c r="F20" s="6" t="n">
        <v>6036</v>
      </c>
      <c r="G20" s="9" t="inlineStr"/>
    </row>
    <row r="21">
      <c r="A21" s="4" t="n">
        <v>17</v>
      </c>
      <c r="B21" s="4" t="inlineStr">
        <is>
          <t>May 2023</t>
        </is>
      </c>
      <c r="C21" s="5" t="n">
        <v>80.90000000000001</v>
      </c>
      <c r="D21" s="6" t="n">
        <v>1177</v>
      </c>
      <c r="E21" s="6" t="n">
        <v>440</v>
      </c>
      <c r="F21" s="6" t="n">
        <v>6892</v>
      </c>
      <c r="G21" s="7" t="inlineStr"/>
    </row>
    <row r="22">
      <c r="A22" s="8" t="n">
        <v>18</v>
      </c>
      <c r="B22" s="8" t="inlineStr">
        <is>
          <t>Jun 2023</t>
        </is>
      </c>
      <c r="C22" s="5" t="n">
        <v>82.90000000000001</v>
      </c>
      <c r="D22" s="6" t="n">
        <v>1205</v>
      </c>
      <c r="E22" s="6" t="n">
        <v>447</v>
      </c>
      <c r="F22" s="6" t="n">
        <v>7040</v>
      </c>
      <c r="G22" s="9" t="inlineStr"/>
    </row>
    <row r="23">
      <c r="A23" s="4" t="n">
        <v>19</v>
      </c>
      <c r="B23" s="4" t="inlineStr">
        <is>
          <t>Jul 2023</t>
        </is>
      </c>
      <c r="C23" s="5" t="n">
        <v>86.2</v>
      </c>
      <c r="D23" s="6" t="n">
        <v>1246</v>
      </c>
      <c r="E23" s="6" t="n">
        <v>480</v>
      </c>
      <c r="F23" s="6" t="n">
        <v>7401</v>
      </c>
      <c r="G23" s="7" t="inlineStr"/>
    </row>
    <row r="24">
      <c r="A24" s="8" t="n">
        <v>20</v>
      </c>
      <c r="B24" s="8" t="inlineStr">
        <is>
          <t>Aug 2023</t>
        </is>
      </c>
      <c r="C24" s="5" t="n">
        <v>86.90000000000001</v>
      </c>
      <c r="D24" s="6" t="n">
        <v>1278</v>
      </c>
      <c r="E24" s="6" t="n">
        <v>490</v>
      </c>
      <c r="F24" s="6" t="n">
        <v>7329</v>
      </c>
      <c r="G24" s="9" t="inlineStr"/>
    </row>
    <row r="25">
      <c r="A25" s="4" t="n">
        <v>21</v>
      </c>
      <c r="B25" s="4" t="inlineStr">
        <is>
          <t>Sep 2023</t>
        </is>
      </c>
      <c r="C25" s="5" t="n">
        <v>80.8</v>
      </c>
      <c r="D25" s="6" t="n">
        <v>1166</v>
      </c>
      <c r="E25" s="6" t="n">
        <v>433</v>
      </c>
      <c r="F25" s="6" t="n">
        <v>6886</v>
      </c>
      <c r="G25" s="7" t="inlineStr"/>
    </row>
    <row r="26">
      <c r="A26" s="8" t="n">
        <v>22</v>
      </c>
      <c r="B26" s="8" t="inlineStr">
        <is>
          <t>Oct 2023</t>
        </is>
      </c>
      <c r="C26" s="5" t="n">
        <v>79.09999999999999</v>
      </c>
      <c r="D26" s="6" t="n">
        <v>1166</v>
      </c>
      <c r="E26" s="6" t="n">
        <v>450</v>
      </c>
      <c r="F26" s="6" t="n">
        <v>6765</v>
      </c>
      <c r="G26" s="9" t="inlineStr"/>
    </row>
    <row r="27">
      <c r="A27" s="4" t="n">
        <v>23</v>
      </c>
      <c r="B27" s="4" t="inlineStr">
        <is>
          <t>Nov 2023</t>
        </is>
      </c>
      <c r="C27" s="5" t="n">
        <v>90.59999999999999</v>
      </c>
      <c r="D27" s="6" t="n">
        <v>1313</v>
      </c>
      <c r="E27" s="6" t="n">
        <v>509</v>
      </c>
      <c r="F27" s="6" t="n">
        <v>7796</v>
      </c>
      <c r="G27" s="7" t="inlineStr">
        <is>
          <t>Black Friday record</t>
        </is>
      </c>
    </row>
    <row r="28">
      <c r="A28" s="8" t="n">
        <v>24</v>
      </c>
      <c r="B28" s="8" t="inlineStr">
        <is>
          <t>Dec 2023</t>
        </is>
      </c>
      <c r="C28" s="5" t="n">
        <v>113.3</v>
      </c>
      <c r="D28" s="6" t="n">
        <v>1636</v>
      </c>
      <c r="E28" s="6" t="n">
        <v>632</v>
      </c>
      <c r="F28" s="6" t="n">
        <v>9538</v>
      </c>
      <c r="G28" s="9" t="inlineStr">
        <is>
          <t>Holiday surge</t>
        </is>
      </c>
    </row>
    <row r="29">
      <c r="A29" s="4" t="n">
        <v>25</v>
      </c>
      <c r="B29" s="4" t="inlineStr">
        <is>
          <t>Jan 2024</t>
        </is>
      </c>
      <c r="C29" s="5" t="n">
        <v>72.7</v>
      </c>
      <c r="D29" s="6" t="n">
        <v>1059</v>
      </c>
      <c r="E29" s="6" t="n">
        <v>395</v>
      </c>
      <c r="F29" s="6" t="n">
        <v>6095</v>
      </c>
      <c r="G29" s="7" t="inlineStr"/>
    </row>
    <row r="30">
      <c r="A30" s="8" t="n">
        <v>26</v>
      </c>
      <c r="B30" s="8" t="inlineStr">
        <is>
          <t>Feb 2024</t>
        </is>
      </c>
      <c r="C30" s="5" t="n">
        <v>67.8</v>
      </c>
      <c r="D30" s="6" t="n">
        <v>999</v>
      </c>
      <c r="E30" s="6" t="n">
        <v>392</v>
      </c>
      <c r="F30" s="6" t="n">
        <v>5846</v>
      </c>
      <c r="G30" s="9" t="inlineStr"/>
    </row>
    <row r="31">
      <c r="A31" s="4" t="n">
        <v>27</v>
      </c>
      <c r="B31" s="4" t="inlineStr">
        <is>
          <t>Mar 2024</t>
        </is>
      </c>
      <c r="C31" s="5" t="n">
        <v>75.8</v>
      </c>
      <c r="D31" s="6" t="n">
        <v>1110</v>
      </c>
      <c r="E31" s="6" t="n">
        <v>418</v>
      </c>
      <c r="F31" s="6" t="n">
        <v>6507</v>
      </c>
      <c r="G31" s="7" t="inlineStr"/>
    </row>
    <row r="32">
      <c r="A32" s="8" t="n">
        <v>28</v>
      </c>
      <c r="B32" s="8" t="inlineStr">
        <is>
          <t>Apr 2024</t>
        </is>
      </c>
      <c r="C32" s="5" t="n">
        <v>81.59999999999999</v>
      </c>
      <c r="D32" s="6" t="n">
        <v>1179</v>
      </c>
      <c r="E32" s="6" t="n">
        <v>437</v>
      </c>
      <c r="F32" s="6" t="n">
        <v>6898</v>
      </c>
      <c r="G32" s="9" t="inlineStr"/>
    </row>
    <row r="33">
      <c r="A33" s="4" t="n">
        <v>29</v>
      </c>
      <c r="B33" s="4" t="inlineStr">
        <is>
          <t>May 2024</t>
        </is>
      </c>
      <c r="C33" s="5" t="n">
        <v>89.8</v>
      </c>
      <c r="D33" s="6" t="n">
        <v>1316</v>
      </c>
      <c r="E33" s="6" t="n">
        <v>493</v>
      </c>
      <c r="F33" s="6" t="n">
        <v>7724</v>
      </c>
      <c r="G33" s="7" t="inlineStr"/>
    </row>
    <row r="34">
      <c r="A34" s="8" t="n">
        <v>30</v>
      </c>
      <c r="B34" s="8" t="inlineStr">
        <is>
          <t>Jun 2024</t>
        </is>
      </c>
      <c r="C34" s="5" t="n">
        <v>92.40000000000001</v>
      </c>
      <c r="D34" s="6" t="n">
        <v>1356</v>
      </c>
      <c r="E34" s="6" t="n">
        <v>512</v>
      </c>
      <c r="F34" s="6" t="n">
        <v>7846</v>
      </c>
      <c r="G34" s="9" t="inlineStr"/>
    </row>
    <row r="35">
      <c r="A35" s="4" t="n">
        <v>31</v>
      </c>
      <c r="B35" s="4" t="inlineStr">
        <is>
          <t>Jul 2024</t>
        </is>
      </c>
      <c r="C35" s="5" t="n">
        <v>95.8</v>
      </c>
      <c r="D35" s="6" t="n">
        <v>1377</v>
      </c>
      <c r="E35" s="6" t="n">
        <v>524</v>
      </c>
      <c r="F35" s="6" t="n">
        <v>8169</v>
      </c>
      <c r="G35" s="7" t="inlineStr"/>
    </row>
    <row r="36">
      <c r="A36" s="8" t="n">
        <v>32</v>
      </c>
      <c r="B36" s="8" t="inlineStr">
        <is>
          <t>Aug 2024</t>
        </is>
      </c>
      <c r="C36" s="5" t="n">
        <v>94.3</v>
      </c>
      <c r="D36" s="6" t="n">
        <v>1350</v>
      </c>
      <c r="E36" s="6" t="n">
        <v>525</v>
      </c>
      <c r="F36" s="6" t="n">
        <v>7943</v>
      </c>
      <c r="G36" s="9" t="inlineStr"/>
    </row>
    <row r="37">
      <c r="A37" s="4" t="n">
        <v>33</v>
      </c>
      <c r="B37" s="4" t="inlineStr">
        <is>
          <t>Sep 2024</t>
        </is>
      </c>
      <c r="C37" s="5" t="n">
        <v>88.2</v>
      </c>
      <c r="D37" s="6" t="n">
        <v>1268</v>
      </c>
      <c r="E37" s="6" t="n">
        <v>491</v>
      </c>
      <c r="F37" s="6" t="n">
        <v>7571</v>
      </c>
      <c r="G37" s="7" t="inlineStr"/>
    </row>
    <row r="38">
      <c r="A38" s="8" t="n">
        <v>34</v>
      </c>
      <c r="B38" s="8" t="inlineStr">
        <is>
          <t>Oct 2024</t>
        </is>
      </c>
      <c r="C38" s="5" t="n">
        <v>88.5</v>
      </c>
      <c r="D38" s="6" t="n">
        <v>1267</v>
      </c>
      <c r="E38" s="6" t="n">
        <v>478</v>
      </c>
      <c r="F38" s="6" t="n">
        <v>7519</v>
      </c>
      <c r="G38" s="9" t="inlineStr"/>
    </row>
    <row r="39">
      <c r="A39" s="4" t="n">
        <v>35</v>
      </c>
      <c r="B39" s="4" t="inlineStr">
        <is>
          <t>Nov 2024</t>
        </is>
      </c>
      <c r="C39" s="5" t="n">
        <v>103</v>
      </c>
      <c r="D39" s="6" t="n">
        <v>1502</v>
      </c>
      <c r="E39" s="6" t="n">
        <v>571</v>
      </c>
      <c r="F39" s="6" t="n">
        <v>8719</v>
      </c>
      <c r="G39" s="7" t="inlineStr">
        <is>
          <t>Promo campaign</t>
        </is>
      </c>
    </row>
    <row r="40">
      <c r="A40" s="8" t="n">
        <v>36</v>
      </c>
      <c r="B40" s="8" t="inlineStr">
        <is>
          <t>Dec 2024</t>
        </is>
      </c>
      <c r="C40" s="5" t="n">
        <v>127</v>
      </c>
      <c r="D40" s="6" t="n">
        <v>1821</v>
      </c>
      <c r="E40" s="6" t="n">
        <v>697</v>
      </c>
      <c r="F40" s="6" t="n">
        <v>10879</v>
      </c>
      <c r="G40" s="9" t="inlineStr">
        <is>
          <t>All-time high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22" customWidth="1" min="4" max="4"/>
    <col width="20" customWidth="1" min="5" max="5"/>
    <col width="18" customWidth="1" min="6" max="6"/>
    <col width="40" customWidth="1" min="7" max="7"/>
  </cols>
  <sheetData>
    <row r="1" ht="30" customHeight="1">
      <c r="A1" s="1" t="inlineStr">
        <is>
          <t>Forecasting Future Values — FORECAST.LINEAR and FORECAST.ETS (Objective 9)</t>
        </is>
      </c>
    </row>
    <row r="2" ht="50" customHeight="1">
      <c r="A2" s="2" t="inlineStr">
        <is>
          <t>FORECAST.LINEAR fits a straight-line trend (good for steady growth). FORECAST.ETS uses Exponential Triple Smoothing — it detects and projects TREND + SEASONALITY automatically, making it more accurate for data with regular seasonal patterns. Both functions extend your historical data into the future.</t>
        </is>
      </c>
    </row>
    <row r="4">
      <c r="A4" s="3" t="inlineStr">
        <is>
          <t>Period</t>
        </is>
      </c>
      <c r="B4" s="3" t="inlineStr">
        <is>
          <t>Date</t>
        </is>
      </c>
      <c r="C4" s="3" t="inlineStr">
        <is>
          <t>Actual Revenue ($K)</t>
        </is>
      </c>
      <c r="D4" s="3" t="inlineStr">
        <is>
          <t>LINEAR Forecast</t>
        </is>
      </c>
      <c r="E4" s="3" t="inlineStr">
        <is>
          <t>ETS Forecast</t>
        </is>
      </c>
      <c r="F4" s="3" t="inlineStr">
        <is>
          <t>Forecast Error (ETS)</t>
        </is>
      </c>
      <c r="G4" s="3" t="inlineStr">
        <is>
          <t>Notes</t>
        </is>
      </c>
    </row>
    <row r="5">
      <c r="A5" s="4" t="n">
        <v>1</v>
      </c>
      <c r="B5" s="4" t="inlineStr">
        <is>
          <t>Jan 2022</t>
        </is>
      </c>
      <c r="C5" s="5" t="n">
        <v>55.9</v>
      </c>
      <c r="D5" s="10">
        <f>FORECAST(A5,Historical_Data!$C$5:$C$40,Historical_Data!$A$5:$A$40)</f>
        <v/>
      </c>
      <c r="E5" s="10">
        <f>_xlfn.FORECAST.ETS(A5,Historical_Data!$C$5:$C$40,Historical_Data!$A$5:$A$40,12)</f>
        <v/>
      </c>
      <c r="F5" s="10">
        <f>C5-E5</f>
        <v/>
      </c>
      <c r="G5" s="7" t="inlineStr">
        <is>
          <t>Historical</t>
        </is>
      </c>
    </row>
    <row r="6">
      <c r="A6" s="8" t="n">
        <v>2</v>
      </c>
      <c r="B6" s="8" t="inlineStr">
        <is>
          <t>Feb 2022</t>
        </is>
      </c>
      <c r="C6" s="5" t="n">
        <v>52.7</v>
      </c>
      <c r="D6" s="10">
        <f>FORECAST(A6,Historical_Data!$C$5:$C$40,Historical_Data!$A$5:$A$40)</f>
        <v/>
      </c>
      <c r="E6" s="10">
        <f>_xlfn.FORECAST.ETS(A6,Historical_Data!$C$5:$C$40,Historical_Data!$A$5:$A$40,12)</f>
        <v/>
      </c>
      <c r="F6" s="10">
        <f>C6-E6</f>
        <v/>
      </c>
      <c r="G6" s="9" t="inlineStr">
        <is>
          <t>Historical</t>
        </is>
      </c>
    </row>
    <row r="7">
      <c r="A7" s="4" t="n">
        <v>3</v>
      </c>
      <c r="B7" s="4" t="inlineStr">
        <is>
          <t>Mar 2022</t>
        </is>
      </c>
      <c r="C7" s="5" t="n">
        <v>60.8</v>
      </c>
      <c r="D7" s="10">
        <f>FORECAST(A7,Historical_Data!$C$5:$C$40,Historical_Data!$A$5:$A$40)</f>
        <v/>
      </c>
      <c r="E7" s="10">
        <f>_xlfn.FORECAST.ETS(A7,Historical_Data!$C$5:$C$40,Historical_Data!$A$5:$A$40,12)</f>
        <v/>
      </c>
      <c r="F7" s="10">
        <f>C7-E7</f>
        <v/>
      </c>
      <c r="G7" s="7" t="inlineStr">
        <is>
          <t>Historical</t>
        </is>
      </c>
    </row>
    <row r="8">
      <c r="A8" s="8" t="n">
        <v>4</v>
      </c>
      <c r="B8" s="8" t="inlineStr">
        <is>
          <t>Apr 2022</t>
        </is>
      </c>
      <c r="C8" s="5" t="n">
        <v>63.6</v>
      </c>
      <c r="D8" s="10">
        <f>FORECAST(A8,Historical_Data!$C$5:$C$40,Historical_Data!$A$5:$A$40)</f>
        <v/>
      </c>
      <c r="E8" s="10">
        <f>_xlfn.FORECAST.ETS(A8,Historical_Data!$C$5:$C$40,Historical_Data!$A$5:$A$40,12)</f>
        <v/>
      </c>
      <c r="F8" s="10">
        <f>C8-E8</f>
        <v/>
      </c>
      <c r="G8" s="9" t="inlineStr">
        <is>
          <t>Historical</t>
        </is>
      </c>
    </row>
    <row r="9">
      <c r="A9" s="4" t="n">
        <v>5</v>
      </c>
      <c r="B9" s="4" t="inlineStr">
        <is>
          <t>May 2022</t>
        </is>
      </c>
      <c r="C9" s="5" t="n">
        <v>68.09999999999999</v>
      </c>
      <c r="D9" s="10">
        <f>FORECAST(A9,Historical_Data!$C$5:$C$40,Historical_Data!$A$5:$A$40)</f>
        <v/>
      </c>
      <c r="E9" s="10">
        <f>_xlfn.FORECAST.ETS(A9,Historical_Data!$C$5:$C$40,Historical_Data!$A$5:$A$40,12)</f>
        <v/>
      </c>
      <c r="F9" s="10">
        <f>C9-E9</f>
        <v/>
      </c>
      <c r="G9" s="7" t="inlineStr">
        <is>
          <t>Historical</t>
        </is>
      </c>
    </row>
    <row r="10">
      <c r="A10" s="8" t="n">
        <v>6</v>
      </c>
      <c r="B10" s="8" t="inlineStr">
        <is>
          <t>Jun 2022</t>
        </is>
      </c>
      <c r="C10" s="5" t="n">
        <v>70.8</v>
      </c>
      <c r="D10" s="10">
        <f>FORECAST(A10,Historical_Data!$C$5:$C$40,Historical_Data!$A$5:$A$40)</f>
        <v/>
      </c>
      <c r="E10" s="10">
        <f>_xlfn.FORECAST.ETS(A10,Historical_Data!$C$5:$C$40,Historical_Data!$A$5:$A$40,12)</f>
        <v/>
      </c>
      <c r="F10" s="10">
        <f>C10-E10</f>
        <v/>
      </c>
      <c r="G10" s="9" t="inlineStr">
        <is>
          <t>Historical</t>
        </is>
      </c>
    </row>
    <row r="11">
      <c r="A11" s="4" t="n">
        <v>7</v>
      </c>
      <c r="B11" s="4" t="inlineStr">
        <is>
          <t>Jul 2022</t>
        </is>
      </c>
      <c r="C11" s="5" t="n">
        <v>76.40000000000001</v>
      </c>
      <c r="D11" s="10">
        <f>FORECAST(A11,Historical_Data!$C$5:$C$40,Historical_Data!$A$5:$A$40)</f>
        <v/>
      </c>
      <c r="E11" s="10">
        <f>_xlfn.FORECAST.ETS(A11,Historical_Data!$C$5:$C$40,Historical_Data!$A$5:$A$40,12)</f>
        <v/>
      </c>
      <c r="F11" s="10">
        <f>C11-E11</f>
        <v/>
      </c>
      <c r="G11" s="7" t="inlineStr">
        <is>
          <t>Historical</t>
        </is>
      </c>
    </row>
    <row r="12">
      <c r="A12" s="8" t="n">
        <v>8</v>
      </c>
      <c r="B12" s="8" t="inlineStr">
        <is>
          <t>Aug 2022</t>
        </is>
      </c>
      <c r="C12" s="5" t="n">
        <v>77.40000000000001</v>
      </c>
      <c r="D12" s="10">
        <f>FORECAST(A12,Historical_Data!$C$5:$C$40,Historical_Data!$A$5:$A$40)</f>
        <v/>
      </c>
      <c r="E12" s="10">
        <f>_xlfn.FORECAST.ETS(A12,Historical_Data!$C$5:$C$40,Historical_Data!$A$5:$A$40,12)</f>
        <v/>
      </c>
      <c r="F12" s="10">
        <f>C12-E12</f>
        <v/>
      </c>
      <c r="G12" s="9" t="inlineStr">
        <is>
          <t>Historical</t>
        </is>
      </c>
    </row>
    <row r="13">
      <c r="A13" s="4" t="n">
        <v>9</v>
      </c>
      <c r="B13" s="4" t="inlineStr">
        <is>
          <t>Sep 2022</t>
        </is>
      </c>
      <c r="C13" s="5" t="n">
        <v>70.40000000000001</v>
      </c>
      <c r="D13" s="10">
        <f>FORECAST(A13,Historical_Data!$C$5:$C$40,Historical_Data!$A$5:$A$40)</f>
        <v/>
      </c>
      <c r="E13" s="10">
        <f>_xlfn.FORECAST.ETS(A13,Historical_Data!$C$5:$C$40,Historical_Data!$A$5:$A$40,12)</f>
        <v/>
      </c>
      <c r="F13" s="10">
        <f>C13-E13</f>
        <v/>
      </c>
      <c r="G13" s="7" t="inlineStr">
        <is>
          <t>Historical</t>
        </is>
      </c>
    </row>
    <row r="14">
      <c r="A14" s="8" t="n">
        <v>10</v>
      </c>
      <c r="B14" s="8" t="inlineStr">
        <is>
          <t>Oct 2022</t>
        </is>
      </c>
      <c r="C14" s="5" t="n">
        <v>69.8</v>
      </c>
      <c r="D14" s="10">
        <f>FORECAST(A14,Historical_Data!$C$5:$C$40,Historical_Data!$A$5:$A$40)</f>
        <v/>
      </c>
      <c r="E14" s="10">
        <f>_xlfn.FORECAST.ETS(A14,Historical_Data!$C$5:$C$40,Historical_Data!$A$5:$A$40,12)</f>
        <v/>
      </c>
      <c r="F14" s="10">
        <f>C14-E14</f>
        <v/>
      </c>
      <c r="G14" s="9" t="inlineStr">
        <is>
          <t>Historical</t>
        </is>
      </c>
    </row>
    <row r="15">
      <c r="A15" s="4" t="n">
        <v>11</v>
      </c>
      <c r="B15" s="4" t="inlineStr">
        <is>
          <t>Nov 2022</t>
        </is>
      </c>
      <c r="C15" s="5" t="n">
        <v>80.8</v>
      </c>
      <c r="D15" s="10">
        <f>FORECAST(A15,Historical_Data!$C$5:$C$40,Historical_Data!$A$5:$A$40)</f>
        <v/>
      </c>
      <c r="E15" s="10">
        <f>_xlfn.FORECAST.ETS(A15,Historical_Data!$C$5:$C$40,Historical_Data!$A$5:$A$40,12)</f>
        <v/>
      </c>
      <c r="F15" s="10">
        <f>C15-E15</f>
        <v/>
      </c>
      <c r="G15" s="7" t="inlineStr">
        <is>
          <t>Historical</t>
        </is>
      </c>
    </row>
    <row r="16">
      <c r="A16" s="8" t="n">
        <v>12</v>
      </c>
      <c r="B16" s="8" t="inlineStr">
        <is>
          <t>Dec 2022</t>
        </is>
      </c>
      <c r="C16" s="5" t="n">
        <v>100.9</v>
      </c>
      <c r="D16" s="10">
        <f>FORECAST(A16,Historical_Data!$C$5:$C$40,Historical_Data!$A$5:$A$40)</f>
        <v/>
      </c>
      <c r="E16" s="10">
        <f>_xlfn.FORECAST.ETS(A16,Historical_Data!$C$5:$C$40,Historical_Data!$A$5:$A$40,12)</f>
        <v/>
      </c>
      <c r="F16" s="10">
        <f>C16-E16</f>
        <v/>
      </c>
      <c r="G16" s="9" t="inlineStr">
        <is>
          <t>Historical</t>
        </is>
      </c>
    </row>
    <row r="17">
      <c r="A17" s="4" t="n">
        <v>13</v>
      </c>
      <c r="B17" s="4" t="inlineStr">
        <is>
          <t>Jan 2023</t>
        </is>
      </c>
      <c r="C17" s="5" t="n">
        <v>65.59999999999999</v>
      </c>
      <c r="D17" s="10">
        <f>FORECAST(A17,Historical_Data!$C$5:$C$40,Historical_Data!$A$5:$A$40)</f>
        <v/>
      </c>
      <c r="E17" s="10">
        <f>_xlfn.FORECAST.ETS(A17,Historical_Data!$C$5:$C$40,Historical_Data!$A$5:$A$40,12)</f>
        <v/>
      </c>
      <c r="F17" s="10">
        <f>C17-E17</f>
        <v/>
      </c>
      <c r="G17" s="7" t="inlineStr">
        <is>
          <t>Historical</t>
        </is>
      </c>
    </row>
    <row r="18">
      <c r="A18" s="8" t="n">
        <v>14</v>
      </c>
      <c r="B18" s="8" t="inlineStr">
        <is>
          <t>Feb 2023</t>
        </is>
      </c>
      <c r="C18" s="5" t="n">
        <v>60.6</v>
      </c>
      <c r="D18" s="10">
        <f>FORECAST(A18,Historical_Data!$C$5:$C$40,Historical_Data!$A$5:$A$40)</f>
        <v/>
      </c>
      <c r="E18" s="10">
        <f>_xlfn.FORECAST.ETS(A18,Historical_Data!$C$5:$C$40,Historical_Data!$A$5:$A$40,12)</f>
        <v/>
      </c>
      <c r="F18" s="10">
        <f>C18-E18</f>
        <v/>
      </c>
      <c r="G18" s="9" t="inlineStr">
        <is>
          <t>Historical</t>
        </is>
      </c>
    </row>
    <row r="19">
      <c r="A19" s="4" t="n">
        <v>15</v>
      </c>
      <c r="B19" s="4" t="inlineStr">
        <is>
          <t>Mar 2023</t>
        </is>
      </c>
      <c r="C19" s="5" t="n">
        <v>68.7</v>
      </c>
      <c r="D19" s="10">
        <f>FORECAST(A19,Historical_Data!$C$5:$C$40,Historical_Data!$A$5:$A$40)</f>
        <v/>
      </c>
      <c r="E19" s="10">
        <f>_xlfn.FORECAST.ETS(A19,Historical_Data!$C$5:$C$40,Historical_Data!$A$5:$A$40,12)</f>
        <v/>
      </c>
      <c r="F19" s="10">
        <f>C19-E19</f>
        <v/>
      </c>
      <c r="G19" s="7" t="inlineStr">
        <is>
          <t>Historical</t>
        </is>
      </c>
    </row>
    <row r="20">
      <c r="A20" s="8" t="n">
        <v>16</v>
      </c>
      <c r="B20" s="8" t="inlineStr">
        <is>
          <t>Apr 2023</t>
        </is>
      </c>
      <c r="C20" s="5" t="n">
        <v>71.5</v>
      </c>
      <c r="D20" s="10">
        <f>FORECAST(A20,Historical_Data!$C$5:$C$40,Historical_Data!$A$5:$A$40)</f>
        <v/>
      </c>
      <c r="E20" s="10">
        <f>_xlfn.FORECAST.ETS(A20,Historical_Data!$C$5:$C$40,Historical_Data!$A$5:$A$40,12)</f>
        <v/>
      </c>
      <c r="F20" s="10">
        <f>C20-E20</f>
        <v/>
      </c>
      <c r="G20" s="9" t="inlineStr">
        <is>
          <t>Historical</t>
        </is>
      </c>
    </row>
    <row r="21">
      <c r="A21" s="4" t="n">
        <v>17</v>
      </c>
      <c r="B21" s="4" t="inlineStr">
        <is>
          <t>May 2023</t>
        </is>
      </c>
      <c r="C21" s="5" t="n">
        <v>80.90000000000001</v>
      </c>
      <c r="D21" s="10">
        <f>FORECAST(A21,Historical_Data!$C$5:$C$40,Historical_Data!$A$5:$A$40)</f>
        <v/>
      </c>
      <c r="E21" s="10">
        <f>_xlfn.FORECAST.ETS(A21,Historical_Data!$C$5:$C$40,Historical_Data!$A$5:$A$40,12)</f>
        <v/>
      </c>
      <c r="F21" s="10">
        <f>C21-E21</f>
        <v/>
      </c>
      <c r="G21" s="7" t="inlineStr">
        <is>
          <t>Historical</t>
        </is>
      </c>
    </row>
    <row r="22">
      <c r="A22" s="8" t="n">
        <v>18</v>
      </c>
      <c r="B22" s="8" t="inlineStr">
        <is>
          <t>Jun 2023</t>
        </is>
      </c>
      <c r="C22" s="5" t="n">
        <v>82.90000000000001</v>
      </c>
      <c r="D22" s="10">
        <f>FORECAST(A22,Historical_Data!$C$5:$C$40,Historical_Data!$A$5:$A$40)</f>
        <v/>
      </c>
      <c r="E22" s="10">
        <f>_xlfn.FORECAST.ETS(A22,Historical_Data!$C$5:$C$40,Historical_Data!$A$5:$A$40,12)</f>
        <v/>
      </c>
      <c r="F22" s="10">
        <f>C22-E22</f>
        <v/>
      </c>
      <c r="G22" s="9" t="inlineStr">
        <is>
          <t>Historical</t>
        </is>
      </c>
    </row>
    <row r="23">
      <c r="A23" s="4" t="n">
        <v>19</v>
      </c>
      <c r="B23" s="4" t="inlineStr">
        <is>
          <t>Jul 2023</t>
        </is>
      </c>
      <c r="C23" s="5" t="n">
        <v>86.2</v>
      </c>
      <c r="D23" s="10">
        <f>FORECAST(A23,Historical_Data!$C$5:$C$40,Historical_Data!$A$5:$A$40)</f>
        <v/>
      </c>
      <c r="E23" s="10">
        <f>_xlfn.FORECAST.ETS(A23,Historical_Data!$C$5:$C$40,Historical_Data!$A$5:$A$40,12)</f>
        <v/>
      </c>
      <c r="F23" s="10">
        <f>C23-E23</f>
        <v/>
      </c>
      <c r="G23" s="7" t="inlineStr">
        <is>
          <t>Historical</t>
        </is>
      </c>
    </row>
    <row r="24">
      <c r="A24" s="8" t="n">
        <v>20</v>
      </c>
      <c r="B24" s="8" t="inlineStr">
        <is>
          <t>Aug 2023</t>
        </is>
      </c>
      <c r="C24" s="5" t="n">
        <v>86.90000000000001</v>
      </c>
      <c r="D24" s="10">
        <f>FORECAST(A24,Historical_Data!$C$5:$C$40,Historical_Data!$A$5:$A$40)</f>
        <v/>
      </c>
      <c r="E24" s="10">
        <f>_xlfn.FORECAST.ETS(A24,Historical_Data!$C$5:$C$40,Historical_Data!$A$5:$A$40,12)</f>
        <v/>
      </c>
      <c r="F24" s="10">
        <f>C24-E24</f>
        <v/>
      </c>
      <c r="G24" s="9" t="inlineStr">
        <is>
          <t>Historical</t>
        </is>
      </c>
    </row>
    <row r="25">
      <c r="A25" s="4" t="n">
        <v>21</v>
      </c>
      <c r="B25" s="4" t="inlineStr">
        <is>
          <t>Sep 2023</t>
        </is>
      </c>
      <c r="C25" s="5" t="n">
        <v>80.8</v>
      </c>
      <c r="D25" s="10">
        <f>FORECAST(A25,Historical_Data!$C$5:$C$40,Historical_Data!$A$5:$A$40)</f>
        <v/>
      </c>
      <c r="E25" s="10">
        <f>_xlfn.FORECAST.ETS(A25,Historical_Data!$C$5:$C$40,Historical_Data!$A$5:$A$40,12)</f>
        <v/>
      </c>
      <c r="F25" s="10">
        <f>C25-E25</f>
        <v/>
      </c>
      <c r="G25" s="7" t="inlineStr">
        <is>
          <t>Historical</t>
        </is>
      </c>
    </row>
    <row r="26">
      <c r="A26" s="8" t="n">
        <v>22</v>
      </c>
      <c r="B26" s="8" t="inlineStr">
        <is>
          <t>Oct 2023</t>
        </is>
      </c>
      <c r="C26" s="5" t="n">
        <v>79.09999999999999</v>
      </c>
      <c r="D26" s="10">
        <f>FORECAST(A26,Historical_Data!$C$5:$C$40,Historical_Data!$A$5:$A$40)</f>
        <v/>
      </c>
      <c r="E26" s="10">
        <f>_xlfn.FORECAST.ETS(A26,Historical_Data!$C$5:$C$40,Historical_Data!$A$5:$A$40,12)</f>
        <v/>
      </c>
      <c r="F26" s="10">
        <f>C26-E26</f>
        <v/>
      </c>
      <c r="G26" s="9" t="inlineStr">
        <is>
          <t>Historical</t>
        </is>
      </c>
    </row>
    <row r="27">
      <c r="A27" s="4" t="n">
        <v>23</v>
      </c>
      <c r="B27" s="4" t="inlineStr">
        <is>
          <t>Nov 2023</t>
        </is>
      </c>
      <c r="C27" s="5" t="n">
        <v>90.59999999999999</v>
      </c>
      <c r="D27" s="10">
        <f>FORECAST(A27,Historical_Data!$C$5:$C$40,Historical_Data!$A$5:$A$40)</f>
        <v/>
      </c>
      <c r="E27" s="10">
        <f>_xlfn.FORECAST.ETS(A27,Historical_Data!$C$5:$C$40,Historical_Data!$A$5:$A$40,12)</f>
        <v/>
      </c>
      <c r="F27" s="10">
        <f>C27-E27</f>
        <v/>
      </c>
      <c r="G27" s="7" t="inlineStr">
        <is>
          <t>Historical</t>
        </is>
      </c>
    </row>
    <row r="28">
      <c r="A28" s="8" t="n">
        <v>24</v>
      </c>
      <c r="B28" s="8" t="inlineStr">
        <is>
          <t>Dec 2023</t>
        </is>
      </c>
      <c r="C28" s="5" t="n">
        <v>113.3</v>
      </c>
      <c r="D28" s="10">
        <f>FORECAST(A28,Historical_Data!$C$5:$C$40,Historical_Data!$A$5:$A$40)</f>
        <v/>
      </c>
      <c r="E28" s="10">
        <f>_xlfn.FORECAST.ETS(A28,Historical_Data!$C$5:$C$40,Historical_Data!$A$5:$A$40,12)</f>
        <v/>
      </c>
      <c r="F28" s="10">
        <f>C28-E28</f>
        <v/>
      </c>
      <c r="G28" s="9" t="inlineStr">
        <is>
          <t>Historical</t>
        </is>
      </c>
    </row>
    <row r="29">
      <c r="A29" s="4" t="n">
        <v>25</v>
      </c>
      <c r="B29" s="4" t="inlineStr">
        <is>
          <t>Jan 2024</t>
        </is>
      </c>
      <c r="C29" s="5" t="n">
        <v>72.7</v>
      </c>
      <c r="D29" s="10">
        <f>FORECAST(A29,Historical_Data!$C$5:$C$40,Historical_Data!$A$5:$A$40)</f>
        <v/>
      </c>
      <c r="E29" s="10">
        <f>_xlfn.FORECAST.ETS(A29,Historical_Data!$C$5:$C$40,Historical_Data!$A$5:$A$40,12)</f>
        <v/>
      </c>
      <c r="F29" s="10">
        <f>C29-E29</f>
        <v/>
      </c>
      <c r="G29" s="7" t="inlineStr">
        <is>
          <t>Historical</t>
        </is>
      </c>
    </row>
    <row r="30">
      <c r="A30" s="8" t="n">
        <v>26</v>
      </c>
      <c r="B30" s="8" t="inlineStr">
        <is>
          <t>Feb 2024</t>
        </is>
      </c>
      <c r="C30" s="5" t="n">
        <v>67.8</v>
      </c>
      <c r="D30" s="10">
        <f>FORECAST(A30,Historical_Data!$C$5:$C$40,Historical_Data!$A$5:$A$40)</f>
        <v/>
      </c>
      <c r="E30" s="10">
        <f>_xlfn.FORECAST.ETS(A30,Historical_Data!$C$5:$C$40,Historical_Data!$A$5:$A$40,12)</f>
        <v/>
      </c>
      <c r="F30" s="10">
        <f>C30-E30</f>
        <v/>
      </c>
      <c r="G30" s="9" t="inlineStr">
        <is>
          <t>Historical</t>
        </is>
      </c>
    </row>
    <row r="31">
      <c r="A31" s="4" t="n">
        <v>27</v>
      </c>
      <c r="B31" s="4" t="inlineStr">
        <is>
          <t>Mar 2024</t>
        </is>
      </c>
      <c r="C31" s="5" t="n">
        <v>75.8</v>
      </c>
      <c r="D31" s="10">
        <f>FORECAST(A31,Historical_Data!$C$5:$C$40,Historical_Data!$A$5:$A$40)</f>
        <v/>
      </c>
      <c r="E31" s="10">
        <f>_xlfn.FORECAST.ETS(A31,Historical_Data!$C$5:$C$40,Historical_Data!$A$5:$A$40,12)</f>
        <v/>
      </c>
      <c r="F31" s="10">
        <f>C31-E31</f>
        <v/>
      </c>
      <c r="G31" s="7" t="inlineStr">
        <is>
          <t>Historical</t>
        </is>
      </c>
    </row>
    <row r="32">
      <c r="A32" s="8" t="n">
        <v>28</v>
      </c>
      <c r="B32" s="8" t="inlineStr">
        <is>
          <t>Apr 2024</t>
        </is>
      </c>
      <c r="C32" s="5" t="n">
        <v>81.59999999999999</v>
      </c>
      <c r="D32" s="10">
        <f>FORECAST(A32,Historical_Data!$C$5:$C$40,Historical_Data!$A$5:$A$40)</f>
        <v/>
      </c>
      <c r="E32" s="10">
        <f>_xlfn.FORECAST.ETS(A32,Historical_Data!$C$5:$C$40,Historical_Data!$A$5:$A$40,12)</f>
        <v/>
      </c>
      <c r="F32" s="10">
        <f>C32-E32</f>
        <v/>
      </c>
      <c r="G32" s="9" t="inlineStr">
        <is>
          <t>Historical</t>
        </is>
      </c>
    </row>
    <row r="33">
      <c r="A33" s="4" t="n">
        <v>29</v>
      </c>
      <c r="B33" s="4" t="inlineStr">
        <is>
          <t>May 2024</t>
        </is>
      </c>
      <c r="C33" s="5" t="n">
        <v>89.8</v>
      </c>
      <c r="D33" s="10">
        <f>FORECAST(A33,Historical_Data!$C$5:$C$40,Historical_Data!$A$5:$A$40)</f>
        <v/>
      </c>
      <c r="E33" s="10">
        <f>_xlfn.FORECAST.ETS(A33,Historical_Data!$C$5:$C$40,Historical_Data!$A$5:$A$40,12)</f>
        <v/>
      </c>
      <c r="F33" s="10">
        <f>C33-E33</f>
        <v/>
      </c>
      <c r="G33" s="7" t="inlineStr">
        <is>
          <t>Historical</t>
        </is>
      </c>
    </row>
    <row r="34">
      <c r="A34" s="8" t="n">
        <v>30</v>
      </c>
      <c r="B34" s="8" t="inlineStr">
        <is>
          <t>Jun 2024</t>
        </is>
      </c>
      <c r="C34" s="5" t="n">
        <v>92.40000000000001</v>
      </c>
      <c r="D34" s="10">
        <f>FORECAST(A34,Historical_Data!$C$5:$C$40,Historical_Data!$A$5:$A$40)</f>
        <v/>
      </c>
      <c r="E34" s="10">
        <f>_xlfn.FORECAST.ETS(A34,Historical_Data!$C$5:$C$40,Historical_Data!$A$5:$A$40,12)</f>
        <v/>
      </c>
      <c r="F34" s="10">
        <f>C34-E34</f>
        <v/>
      </c>
      <c r="G34" s="9" t="inlineStr">
        <is>
          <t>Historical</t>
        </is>
      </c>
    </row>
    <row r="35">
      <c r="A35" s="4" t="n">
        <v>31</v>
      </c>
      <c r="B35" s="4" t="inlineStr">
        <is>
          <t>Jul 2024</t>
        </is>
      </c>
      <c r="C35" s="5" t="n">
        <v>95.8</v>
      </c>
      <c r="D35" s="10">
        <f>FORECAST(A35,Historical_Data!$C$5:$C$40,Historical_Data!$A$5:$A$40)</f>
        <v/>
      </c>
      <c r="E35" s="10">
        <f>_xlfn.FORECAST.ETS(A35,Historical_Data!$C$5:$C$40,Historical_Data!$A$5:$A$40,12)</f>
        <v/>
      </c>
      <c r="F35" s="10">
        <f>C35-E35</f>
        <v/>
      </c>
      <c r="G35" s="7" t="inlineStr">
        <is>
          <t>Historical</t>
        </is>
      </c>
    </row>
    <row r="36">
      <c r="A36" s="8" t="n">
        <v>32</v>
      </c>
      <c r="B36" s="8" t="inlineStr">
        <is>
          <t>Aug 2024</t>
        </is>
      </c>
      <c r="C36" s="5" t="n">
        <v>94.3</v>
      </c>
      <c r="D36" s="10">
        <f>FORECAST(A36,Historical_Data!$C$5:$C$40,Historical_Data!$A$5:$A$40)</f>
        <v/>
      </c>
      <c r="E36" s="10">
        <f>_xlfn.FORECAST.ETS(A36,Historical_Data!$C$5:$C$40,Historical_Data!$A$5:$A$40,12)</f>
        <v/>
      </c>
      <c r="F36" s="10">
        <f>C36-E36</f>
        <v/>
      </c>
      <c r="G36" s="9" t="inlineStr">
        <is>
          <t>Historical</t>
        </is>
      </c>
    </row>
    <row r="37">
      <c r="A37" s="4" t="n">
        <v>33</v>
      </c>
      <c r="B37" s="4" t="inlineStr">
        <is>
          <t>Sep 2024</t>
        </is>
      </c>
      <c r="C37" s="5" t="n">
        <v>88.2</v>
      </c>
      <c r="D37" s="10">
        <f>FORECAST(A37,Historical_Data!$C$5:$C$40,Historical_Data!$A$5:$A$40)</f>
        <v/>
      </c>
      <c r="E37" s="10">
        <f>_xlfn.FORECAST.ETS(A37,Historical_Data!$C$5:$C$40,Historical_Data!$A$5:$A$40,12)</f>
        <v/>
      </c>
      <c r="F37" s="10">
        <f>C37-E37</f>
        <v/>
      </c>
      <c r="G37" s="7" t="inlineStr">
        <is>
          <t>Historical</t>
        </is>
      </c>
    </row>
    <row r="38">
      <c r="A38" s="8" t="n">
        <v>34</v>
      </c>
      <c r="B38" s="8" t="inlineStr">
        <is>
          <t>Oct 2024</t>
        </is>
      </c>
      <c r="C38" s="5" t="n">
        <v>88.5</v>
      </c>
      <c r="D38" s="10">
        <f>FORECAST(A38,Historical_Data!$C$5:$C$40,Historical_Data!$A$5:$A$40)</f>
        <v/>
      </c>
      <c r="E38" s="10">
        <f>_xlfn.FORECAST.ETS(A38,Historical_Data!$C$5:$C$40,Historical_Data!$A$5:$A$40,12)</f>
        <v/>
      </c>
      <c r="F38" s="10">
        <f>C38-E38</f>
        <v/>
      </c>
      <c r="G38" s="9" t="inlineStr">
        <is>
          <t>Historical</t>
        </is>
      </c>
    </row>
    <row r="39">
      <c r="A39" s="4" t="n">
        <v>35</v>
      </c>
      <c r="B39" s="4" t="inlineStr">
        <is>
          <t>Nov 2024</t>
        </is>
      </c>
      <c r="C39" s="5" t="n">
        <v>103</v>
      </c>
      <c r="D39" s="10">
        <f>FORECAST(A39,Historical_Data!$C$5:$C$40,Historical_Data!$A$5:$A$40)</f>
        <v/>
      </c>
      <c r="E39" s="10">
        <f>_xlfn.FORECAST.ETS(A39,Historical_Data!$C$5:$C$40,Historical_Data!$A$5:$A$40,12)</f>
        <v/>
      </c>
      <c r="F39" s="10">
        <f>C39-E39</f>
        <v/>
      </c>
      <c r="G39" s="7" t="inlineStr">
        <is>
          <t>Historical</t>
        </is>
      </c>
    </row>
    <row r="40">
      <c r="A40" s="8" t="n">
        <v>36</v>
      </c>
      <c r="B40" s="8" t="inlineStr">
        <is>
          <t>Dec 2024</t>
        </is>
      </c>
      <c r="C40" s="5" t="n">
        <v>127</v>
      </c>
      <c r="D40" s="10">
        <f>FORECAST(A40,Historical_Data!$C$5:$C$40,Historical_Data!$A$5:$A$40)</f>
        <v/>
      </c>
      <c r="E40" s="10">
        <f>_xlfn.FORECAST.ETS(A40,Historical_Data!$C$5:$C$40,Historical_Data!$A$5:$A$40,12)</f>
        <v/>
      </c>
      <c r="F40" s="10">
        <f>C40-E40</f>
        <v/>
      </c>
      <c r="G40" s="9" t="inlineStr">
        <is>
          <t>Historical</t>
        </is>
      </c>
    </row>
    <row r="41">
      <c r="A41" s="11" t="n">
        <v>37</v>
      </c>
      <c r="B41" s="11" t="inlineStr">
        <is>
          <t>Jan 2025</t>
        </is>
      </c>
      <c r="C41" s="11" t="inlineStr">
        <is>
          <t>—</t>
        </is>
      </c>
      <c r="D41" s="12">
        <f>FORECAST(A41,Historical_Data!$C$5:$C$40,Historical_Data!$A$5:$A$40)</f>
        <v/>
      </c>
      <c r="E41" s="12">
        <f>_xlfn.FORECAST.ETS(A41,Historical_Data!$C$5:$C$40,Historical_Data!$A$5:$A$40,12)</f>
        <v/>
      </c>
      <c r="F41" s="13" t="n"/>
      <c r="G41" s="14" t="inlineStr">
        <is>
          <t>FORECAST ← new</t>
        </is>
      </c>
    </row>
    <row r="42">
      <c r="A42" s="11" t="n">
        <v>38</v>
      </c>
      <c r="B42" s="11" t="inlineStr">
        <is>
          <t>Feb 2025</t>
        </is>
      </c>
      <c r="C42" s="11" t="inlineStr">
        <is>
          <t>—</t>
        </is>
      </c>
      <c r="D42" s="12">
        <f>FORECAST(A42,Historical_Data!$C$5:$C$40,Historical_Data!$A$5:$A$40)</f>
        <v/>
      </c>
      <c r="E42" s="12">
        <f>_xlfn.FORECAST.ETS(A42,Historical_Data!$C$5:$C$40,Historical_Data!$A$5:$A$40,12)</f>
        <v/>
      </c>
      <c r="F42" s="13" t="n"/>
      <c r="G42" s="14" t="inlineStr">
        <is>
          <t>FORECAST ← new</t>
        </is>
      </c>
    </row>
    <row r="43">
      <c r="A43" s="11" t="n">
        <v>39</v>
      </c>
      <c r="B43" s="11" t="inlineStr">
        <is>
          <t>Mar 2025</t>
        </is>
      </c>
      <c r="C43" s="11" t="inlineStr">
        <is>
          <t>—</t>
        </is>
      </c>
      <c r="D43" s="12">
        <f>FORECAST(A43,Historical_Data!$C$5:$C$40,Historical_Data!$A$5:$A$40)</f>
        <v/>
      </c>
      <c r="E43" s="12">
        <f>_xlfn.FORECAST.ETS(A43,Historical_Data!$C$5:$C$40,Historical_Data!$A$5:$A$40,12)</f>
        <v/>
      </c>
      <c r="F43" s="13" t="n"/>
      <c r="G43" s="14" t="inlineStr">
        <is>
          <t>FORECAST ← new</t>
        </is>
      </c>
    </row>
    <row r="44">
      <c r="A44" s="11" t="n">
        <v>40</v>
      </c>
      <c r="B44" s="11" t="inlineStr">
        <is>
          <t>Apr 2025</t>
        </is>
      </c>
      <c r="C44" s="11" t="inlineStr">
        <is>
          <t>—</t>
        </is>
      </c>
      <c r="D44" s="12">
        <f>FORECAST(A44,Historical_Data!$C$5:$C$40,Historical_Data!$A$5:$A$40)</f>
        <v/>
      </c>
      <c r="E44" s="12">
        <f>_xlfn.FORECAST.ETS(A44,Historical_Data!$C$5:$C$40,Historical_Data!$A$5:$A$40,12)</f>
        <v/>
      </c>
      <c r="F44" s="13" t="n"/>
      <c r="G44" s="14" t="inlineStr">
        <is>
          <t>FORECAST ← new</t>
        </is>
      </c>
    </row>
    <row r="45">
      <c r="A45" s="11" t="n">
        <v>41</v>
      </c>
      <c r="B45" s="11" t="inlineStr">
        <is>
          <t>May 2025</t>
        </is>
      </c>
      <c r="C45" s="11" t="inlineStr">
        <is>
          <t>—</t>
        </is>
      </c>
      <c r="D45" s="12">
        <f>FORECAST(A45,Historical_Data!$C$5:$C$40,Historical_Data!$A$5:$A$40)</f>
        <v/>
      </c>
      <c r="E45" s="12">
        <f>_xlfn.FORECAST.ETS(A45,Historical_Data!$C$5:$C$40,Historical_Data!$A$5:$A$40,12)</f>
        <v/>
      </c>
      <c r="F45" s="13" t="n"/>
      <c r="G45" s="14" t="inlineStr">
        <is>
          <t>FORECAST ← new</t>
        </is>
      </c>
    </row>
    <row r="46">
      <c r="A46" s="11" t="n">
        <v>42</v>
      </c>
      <c r="B46" s="11" t="inlineStr">
        <is>
          <t>Jun 2025</t>
        </is>
      </c>
      <c r="C46" s="11" t="inlineStr">
        <is>
          <t>—</t>
        </is>
      </c>
      <c r="D46" s="12">
        <f>FORECAST(A46,Historical_Data!$C$5:$C$40,Historical_Data!$A$5:$A$40)</f>
        <v/>
      </c>
      <c r="E46" s="12">
        <f>_xlfn.FORECAST.ETS(A46,Historical_Data!$C$5:$C$40,Historical_Data!$A$5:$A$40,12)</f>
        <v/>
      </c>
      <c r="F46" s="13" t="n"/>
      <c r="G46" s="14" t="inlineStr">
        <is>
          <t>FORECAST ← new</t>
        </is>
      </c>
    </row>
    <row r="47">
      <c r="A47" s="11" t="n">
        <v>43</v>
      </c>
      <c r="B47" s="11" t="inlineStr">
        <is>
          <t>Jul 2025</t>
        </is>
      </c>
      <c r="C47" s="11" t="inlineStr">
        <is>
          <t>—</t>
        </is>
      </c>
      <c r="D47" s="12">
        <f>FORECAST(A47,Historical_Data!$C$5:$C$40,Historical_Data!$A$5:$A$40)</f>
        <v/>
      </c>
      <c r="E47" s="12">
        <f>_xlfn.FORECAST.ETS(A47,Historical_Data!$C$5:$C$40,Historical_Data!$A$5:$A$40,12)</f>
        <v/>
      </c>
      <c r="F47" s="13" t="n"/>
      <c r="G47" s="14" t="inlineStr">
        <is>
          <t>FORECAST ← new</t>
        </is>
      </c>
    </row>
    <row r="48">
      <c r="A48" s="11" t="n">
        <v>44</v>
      </c>
      <c r="B48" s="11" t="inlineStr">
        <is>
          <t>Aug 2025</t>
        </is>
      </c>
      <c r="C48" s="11" t="inlineStr">
        <is>
          <t>—</t>
        </is>
      </c>
      <c r="D48" s="12">
        <f>FORECAST(A48,Historical_Data!$C$5:$C$40,Historical_Data!$A$5:$A$40)</f>
        <v/>
      </c>
      <c r="E48" s="12">
        <f>_xlfn.FORECAST.ETS(A48,Historical_Data!$C$5:$C$40,Historical_Data!$A$5:$A$40,12)</f>
        <v/>
      </c>
      <c r="F48" s="13" t="n"/>
      <c r="G48" s="14" t="inlineStr">
        <is>
          <t>FORECAST ← new</t>
        </is>
      </c>
    </row>
    <row r="49">
      <c r="A49" s="11" t="n">
        <v>45</v>
      </c>
      <c r="B49" s="11" t="inlineStr">
        <is>
          <t>Sep 2025</t>
        </is>
      </c>
      <c r="C49" s="11" t="inlineStr">
        <is>
          <t>—</t>
        </is>
      </c>
      <c r="D49" s="12">
        <f>FORECAST(A49,Historical_Data!$C$5:$C$40,Historical_Data!$A$5:$A$40)</f>
        <v/>
      </c>
      <c r="E49" s="12">
        <f>_xlfn.FORECAST.ETS(A49,Historical_Data!$C$5:$C$40,Historical_Data!$A$5:$A$40,12)</f>
        <v/>
      </c>
      <c r="F49" s="13" t="n"/>
      <c r="G49" s="14" t="inlineStr">
        <is>
          <t>FORECAST ← new</t>
        </is>
      </c>
    </row>
    <row r="50">
      <c r="A50" s="11" t="n">
        <v>46</v>
      </c>
      <c r="B50" s="11" t="inlineStr">
        <is>
          <t>Oct 2025</t>
        </is>
      </c>
      <c r="C50" s="11" t="inlineStr">
        <is>
          <t>—</t>
        </is>
      </c>
      <c r="D50" s="12">
        <f>FORECAST(A50,Historical_Data!$C$5:$C$40,Historical_Data!$A$5:$A$40)</f>
        <v/>
      </c>
      <c r="E50" s="12">
        <f>_xlfn.FORECAST.ETS(A50,Historical_Data!$C$5:$C$40,Historical_Data!$A$5:$A$40,12)</f>
        <v/>
      </c>
      <c r="F50" s="13" t="n"/>
      <c r="G50" s="14" t="inlineStr">
        <is>
          <t>FORECAST ← new</t>
        </is>
      </c>
    </row>
    <row r="51">
      <c r="A51" s="11" t="n">
        <v>47</v>
      </c>
      <c r="B51" s="11" t="inlineStr">
        <is>
          <t>Nov 2025</t>
        </is>
      </c>
      <c r="C51" s="11" t="inlineStr">
        <is>
          <t>—</t>
        </is>
      </c>
      <c r="D51" s="12">
        <f>FORECAST(A51,Historical_Data!$C$5:$C$40,Historical_Data!$A$5:$A$40)</f>
        <v/>
      </c>
      <c r="E51" s="12">
        <f>_xlfn.FORECAST.ETS(A51,Historical_Data!$C$5:$C$40,Historical_Data!$A$5:$A$40,12)</f>
        <v/>
      </c>
      <c r="F51" s="13" t="n"/>
      <c r="G51" s="14" t="inlineStr">
        <is>
          <t>FORECAST ← new</t>
        </is>
      </c>
    </row>
    <row r="52">
      <c r="A52" s="11" t="n">
        <v>48</v>
      </c>
      <c r="B52" s="11" t="inlineStr">
        <is>
          <t>Dec 2025</t>
        </is>
      </c>
      <c r="C52" s="11" t="inlineStr">
        <is>
          <t>—</t>
        </is>
      </c>
      <c r="D52" s="12">
        <f>FORECAST(A52,Historical_Data!$C$5:$C$40,Historical_Data!$A$5:$A$40)</f>
        <v/>
      </c>
      <c r="E52" s="12">
        <f>_xlfn.FORECAST.ETS(A52,Historical_Data!$C$5:$C$40,Historical_Data!$A$5:$A$40,12)</f>
        <v/>
      </c>
      <c r="F52" s="13" t="n"/>
      <c r="G52" s="14" t="inlineStr">
        <is>
          <t>FORECAST ← new</t>
        </is>
      </c>
    </row>
    <row r="54" ht="24" customHeight="1">
      <c r="A54" s="15" t="inlineStr">
        <is>
          <t>Forecast Accuracy — Mean Absolute Error (MAE)</t>
        </is>
      </c>
    </row>
    <row r="55">
      <c r="A55" s="3" t="inlineStr">
        <is>
          <t>Model</t>
        </is>
      </c>
      <c r="B55" s="3" t="inlineStr">
        <is>
          <t>Formula</t>
        </is>
      </c>
      <c r="C55" s="3" t="inlineStr">
        <is>
          <t>MAE ($K)</t>
        </is>
      </c>
      <c r="D55" s="16" t="inlineStr">
        <is>
          <t>Interpretation</t>
        </is>
      </c>
      <c r="E55" s="25" t="n"/>
      <c r="F55" s="25" t="n"/>
      <c r="G55" s="26" t="n"/>
    </row>
    <row r="56">
      <c r="A56" s="17" t="inlineStr">
        <is>
          <t>FORECAST.LINEAR</t>
        </is>
      </c>
      <c r="B56" s="18" t="inlineStr">
        <is>
          <t>'=AVERAGE(ABS(C5:C40-D5:D40))</t>
        </is>
      </c>
      <c r="C56" s="10">
        <f>AVERAGE(ABS(C5:C40-D5:D40))</f>
        <v/>
      </c>
      <c r="D56" s="19" t="inlineStr">
        <is>
          <t>Average error of the straight-line trend fit.</t>
        </is>
      </c>
      <c r="E56" s="25" t="n"/>
      <c r="F56" s="25" t="n"/>
      <c r="G56" s="26" t="n"/>
    </row>
    <row r="57">
      <c r="A57" s="20" t="inlineStr">
        <is>
          <t>FORECAST.ETS</t>
        </is>
      </c>
      <c r="B57" s="18" t="inlineStr">
        <is>
          <t>'=AVERAGE(ABS(F5:F40))</t>
        </is>
      </c>
      <c r="C57" s="10">
        <f>AVERAGE(ABS(F5:F40))</f>
        <v/>
      </c>
      <c r="D57" s="21" t="inlineStr">
        <is>
          <t>Average error of the trend+seasonality model. Usually lower.</t>
        </is>
      </c>
      <c r="E57" s="25" t="n"/>
      <c r="F57" s="25" t="n"/>
      <c r="G57" s="26" t="n"/>
    </row>
  </sheetData>
  <mergeCells count="6">
    <mergeCell ref="D56:G56"/>
    <mergeCell ref="A1:G1"/>
    <mergeCell ref="A2:G2"/>
    <mergeCell ref="A54:G54"/>
    <mergeCell ref="D57:G57"/>
    <mergeCell ref="D55:G5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20" customWidth="1" min="4" max="4"/>
    <col width="30" customWidth="1" min="5" max="5"/>
  </cols>
  <sheetData>
    <row r="1" ht="30" customHeight="1">
      <c r="A1" s="1" t="inlineStr">
        <is>
          <t>Forecasting Concepts and Best Practices (Objective 9)</t>
        </is>
      </c>
    </row>
    <row r="3">
      <c r="A3" s="3" t="inlineStr">
        <is>
          <t>Concept</t>
        </is>
      </c>
      <c r="B3" s="3" t="inlineStr">
        <is>
          <t>What It Means</t>
        </is>
      </c>
      <c r="C3" s="3" t="inlineStr">
        <is>
          <t>Excel Implementation</t>
        </is>
      </c>
      <c r="D3" s="3" t="inlineStr">
        <is>
          <t>When to Use</t>
        </is>
      </c>
      <c r="E3" s="3" t="inlineStr">
        <is>
          <t>Business Example</t>
        </is>
      </c>
    </row>
    <row r="4" ht="60" customHeight="1">
      <c r="A4" s="17" t="inlineStr">
        <is>
          <t>Trend</t>
        </is>
      </c>
      <c r="B4" s="19" t="inlineStr">
        <is>
          <t>The long-term upward or downward direction in the data.</t>
        </is>
      </c>
      <c r="C4" s="22" t="inlineStr">
        <is>
          <t>FORECAST.LINEAR — fits a straight line through historical data</t>
        </is>
      </c>
      <c r="D4" s="19" t="inlineStr">
        <is>
          <t>Data has clear upward/downward movement, no strong seasonality</t>
        </is>
      </c>
      <c r="E4" s="19" t="inlineStr">
        <is>
          <t>Annual revenue growing steadily at 8% per year</t>
        </is>
      </c>
    </row>
    <row r="5" ht="60" customHeight="1">
      <c r="A5" s="20" t="inlineStr">
        <is>
          <t>Seasonality</t>
        </is>
      </c>
      <c r="B5" s="21" t="inlineStr">
        <is>
          <t>Regular, repeating patterns within a fixed cycle (usually 12 months).</t>
        </is>
      </c>
      <c r="C5" s="23" t="inlineStr">
        <is>
          <t>FORECAST.ETS with seasonality=12 — automatically detects and projects seasonal waves</t>
        </is>
      </c>
      <c r="D5" s="21" t="inlineStr">
        <is>
          <t>Data repeats similar patterns every year (retail, tourism, agriculture)</t>
        </is>
      </c>
      <c r="E5" s="21" t="inlineStr">
        <is>
          <t>High sales in Dec, low in Feb every year</t>
        </is>
      </c>
    </row>
    <row r="6" ht="60" customHeight="1">
      <c r="A6" s="17" t="inlineStr">
        <is>
          <t>FORECAST.LINEAR</t>
        </is>
      </c>
      <c r="B6" s="19" t="inlineStr">
        <is>
          <t>Extends historical data using linear regression (Y = mx + b).</t>
        </is>
      </c>
      <c r="C6" s="22" t="inlineStr">
        <is>
          <t xml:space="preserve"> =FORECAST(x, known_ys, known_xs)
x = future period number</t>
        </is>
      </c>
      <c r="D6" s="19" t="inlineStr">
        <is>
          <t>Simple trend with no strong seasonality</t>
        </is>
      </c>
      <c r="E6" s="19" t="inlineStr">
        <is>
          <t>Projecting unit sales 6 months ahead when trend is stable</t>
        </is>
      </c>
    </row>
    <row r="7" ht="60" customHeight="1">
      <c r="A7" s="20" t="inlineStr">
        <is>
          <t>FORECAST.ETS</t>
        </is>
      </c>
      <c r="B7" s="21" t="inlineStr">
        <is>
          <t>Exponential Triple Smoothing — models level + trend + seasonality.</t>
        </is>
      </c>
      <c r="C7" s="23" t="inlineStr">
        <is>
          <t xml:space="preserve"> =FORECAST.ETS(target_date, values, timeline, seasonality)
Seasonality: 12 for monthly, 4 for quarterly</t>
        </is>
      </c>
      <c r="D7" s="21" t="inlineStr">
        <is>
          <t>Data with BOTH trend AND seasonal variation</t>
        </is>
      </c>
      <c r="E7" s="21" t="inlineStr">
        <is>
          <t>Monthly retail revenue with holiday spikes</t>
        </is>
      </c>
    </row>
    <row r="8" ht="60" customHeight="1">
      <c r="A8" s="17" t="inlineStr">
        <is>
          <t>FORECAST.ETS.CONFINT</t>
        </is>
      </c>
      <c r="B8" s="19" t="inlineStr">
        <is>
          <t>Generates a confidence interval around the ETS forecast.</t>
        </is>
      </c>
      <c r="C8" s="22" t="inlineStr">
        <is>
          <t xml:space="preserve"> =FORECAST.ETS.CONFINT(target, values, timeline, confidence, seasonality)
confidence: 0.95 = 95% interval</t>
        </is>
      </c>
      <c r="D8" s="19" t="inlineStr">
        <is>
          <t>When you need to communicate forecast uncertainty</t>
        </is>
      </c>
      <c r="E8" s="19" t="inlineStr">
        <is>
          <t>Report best case / worst case scenarios to leadership</t>
        </is>
      </c>
    </row>
    <row r="9" ht="60" customHeight="1">
      <c r="A9" s="20" t="inlineStr">
        <is>
          <t>Moving Average</t>
        </is>
      </c>
      <c r="B9" s="21" t="inlineStr">
        <is>
          <t>Smooths out noise by averaging the last N periods.</t>
        </is>
      </c>
      <c r="C9" s="23" t="inlineStr">
        <is>
          <t>No built-in function — calculate with =AVERAGE(last N rows)
ToolPak: Moving Average tool</t>
        </is>
      </c>
      <c r="D9" s="21" t="inlineStr">
        <is>
          <t>Data is noisy; want to see underlying trend</t>
        </is>
      </c>
      <c r="E9" s="21" t="inlineStr">
        <is>
          <t>Average last 3 months of sales to smooth week-to-week variation</t>
        </is>
      </c>
    </row>
    <row r="10" ht="60" customHeight="1">
      <c r="A10" s="17" t="inlineStr">
        <is>
          <t>Holdout Validation</t>
        </is>
      </c>
      <c r="B10" s="19" t="inlineStr">
        <is>
          <t>Using part of historical data to test forecast accuracy.</t>
        </is>
      </c>
      <c r="C10" s="22" t="inlineStr">
        <is>
          <t>Reserve last 6–12 rows as a 'test set'; train on earlier rows; compare predictions to actuals</t>
        </is>
      </c>
      <c r="D10" s="19" t="inlineStr">
        <is>
          <t>Always — before trusting any forecast model</t>
        </is>
      </c>
      <c r="E10" s="19" t="inlineStr">
        <is>
          <t>Train on months 1-30, forecast months 31-36, measure error</t>
        </is>
      </c>
    </row>
    <row r="11" ht="60" customHeight="1">
      <c r="A11" s="20" t="inlineStr">
        <is>
          <t>Mean Absolute Error (MAE)</t>
        </is>
      </c>
      <c r="B11" s="21" t="inlineStr">
        <is>
          <t>Average of |actual - predicted| — lower is better.</t>
        </is>
      </c>
      <c r="C11" s="23" t="inlineStr">
        <is>
          <t xml:space="preserve"> =AVERAGE(ABS(actuals_range - forecasts_range))
where actuals and forecasts are cell ranges</t>
        </is>
      </c>
      <c r="D11" s="21" t="inlineStr">
        <is>
          <t>Evaluating and comparing forecast models</t>
        </is>
      </c>
      <c r="E11" s="21" t="inlineStr">
        <is>
          <t>FORECAST.ETS MAE=$3.2K vs LINEAR MAE=$4.8K → ETS wins</t>
        </is>
      </c>
    </row>
    <row r="12" ht="60" customHeight="1">
      <c r="A12" s="17" t="inlineStr">
        <is>
          <t>Forecast Horizon</t>
        </is>
      </c>
      <c r="B12" s="19" t="inlineStr">
        <is>
          <t>How far into the future you are projecting.</t>
        </is>
      </c>
      <c r="C12" s="22" t="inlineStr">
        <is>
          <t>Any future period number in FORECAST functions</t>
        </is>
      </c>
      <c r="D12" s="19" t="inlineStr">
        <is>
          <t>Planning cycle length</t>
        </is>
      </c>
      <c r="E12" s="19" t="inlineStr">
        <is>
          <t>Quarterly planning = 3-month horizon; annual budget = 12-month horizon</t>
        </is>
      </c>
    </row>
    <row r="13" ht="60" customHeight="1">
      <c r="A13" s="20" t="inlineStr">
        <is>
          <t>Extrapolation Risk</t>
        </is>
      </c>
      <c r="B13" s="21" t="inlineStr">
        <is>
          <t>Forecasts degrade in accuracy the further you project.</t>
        </is>
      </c>
      <c r="C13" s="23" t="inlineStr">
        <is>
          <t>Compare 1-month vs 12-month ahead forecast errors</t>
        </is>
      </c>
      <c r="D13" s="21" t="inlineStr">
        <is>
          <t>Always — be more cautious about longer forecasts</t>
        </is>
      </c>
      <c r="E13" s="21" t="inlineStr">
        <is>
          <t>Do not blindly project 5 years using 2 years of data</t>
        </is>
      </c>
    </row>
    <row r="15" ht="50" customHeight="1">
      <c r="A15" s="24" t="inlineStr">
        <is>
          <t>✏️ Practice Challenge: Using the FORECAST_Functions sheet, which model (LINEAR or ETS) has a lower MAE? Why do you think one outperforms the other on this dataset? Change the season argument in FORECAST.ETS from 12 to 1 — what happens to the forecast?</t>
        </is>
      </c>
    </row>
  </sheetData>
  <mergeCells count="2">
    <mergeCell ref="A15:E15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2026-05-29T14:25:07Z</dcterms:created>
  <dcterms:modified xsi:type="dcterms:W3CDTF">2026-05-29T14:56:40Z</dcterms:modified>
</cp:coreProperties>
</file>