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Loan_Payment" sheetId="2" r:id="rId2"/>
    <sheet name="Break_Even" sheetId="3" r:id="rId3"/>
    <sheet name="Savings_Goal" sheetId="4" r:id="rId4"/>
  </sheets>
  <calcPr calcId="124519" fullCalcOnLoad="1"/>
</workbook>
</file>

<file path=xl/sharedStrings.xml><?xml version="1.0" encoding="utf-8"?>
<sst xmlns="http://schemas.openxmlformats.org/spreadsheetml/2006/main" count="89" uniqueCount="76">
  <si>
    <t>GOAL SEEK — INSTRUCTIONS</t>
  </si>
  <si>
    <t>What is Goal Seek?</t>
  </si>
  <si>
    <t>Goal Seek answers the question: "What input value do I need to achieve a specific result?" You identify a formula cell (the goal), set its desired value, and tell Excel which input cell to adjust. Excel back-calculates the required input automatically. It is found under Data → What-If Analysis → Goal Seek.</t>
  </si>
  <si>
    <t>Color Guide</t>
  </si>
  <si>
    <t xml:space="preserve">  #FFE4B5 cells</t>
  </si>
  <si>
    <t>Orange — Input cells (what Goal Seek changes)</t>
  </si>
  <si>
    <t xml:space="preserve">  #C6EFCE cells</t>
  </si>
  <si>
    <t>Green  — Output/goal cells (the target formula)</t>
  </si>
  <si>
    <t xml:space="preserve">  #DEEAF1 cells</t>
  </si>
  <si>
    <t>Blue   — Calculated intermediate values</t>
  </si>
  <si>
    <t>How to Use Goal Seek</t>
  </si>
  <si>
    <t>1.  Set up a spreadsheet with input cells and a formula cell</t>
  </si>
  <si>
    <t>2.  Click the formula cell (the "Set Cell")</t>
  </si>
  <si>
    <t>3.  Go to Data → What-If Analysis → Goal Seek</t>
  </si>
  <si>
    <t>4.  Set Cell: the formula cell reference</t>
  </si>
  <si>
    <t>5.  To Value: enter the target number you want</t>
  </si>
  <si>
    <t>6.  By Changing Cell: select the input cell to adjust</t>
  </si>
  <si>
    <t>7.  Click OK — Excel finds the required input</t>
  </si>
  <si>
    <t>8.  Click OK again to keep the result (or Cancel to undo)</t>
  </si>
  <si>
    <t>Worksheets in This Workbook</t>
  </si>
  <si>
    <t>Loan_Payment</t>
  </si>
  <si>
    <t>Find the loan amount that hits a target monthly payment</t>
  </si>
  <si>
    <t>Break_Even</t>
  </si>
  <si>
    <t>Find the sales quantity needed to break even</t>
  </si>
  <si>
    <t>Savings_Goal</t>
  </si>
  <si>
    <t>Find the monthly deposit needed to reach a savings target</t>
  </si>
  <si>
    <t>GOAL SEEK — Loan Payment Exercise</t>
  </si>
  <si>
    <t>Question: You can afford $500/month. What is the MAXIMUM loan amount you can borrow at 6% annual interest over 5 years?</t>
  </si>
  <si>
    <t>Step 1 — Enter Known Values (orange)</t>
  </si>
  <si>
    <t>Annual Interest Rate</t>
  </si>
  <si>
    <t>Loan Term (years)</t>
  </si>
  <si>
    <t>Number of Payments</t>
  </si>
  <si>
    <t>Loan Amount (starting)</t>
  </si>
  <si>
    <t>Step 2 — Formula Cell (Goal Seek target)</t>
  </si>
  <si>
    <t>Monthly Payment:</t>
  </si>
  <si>
    <t>&lt;-- Goal Seek targets this cell</t>
  </si>
  <si>
    <t>Step 3 — Run Goal Seek</t>
  </si>
  <si>
    <t>1.  Click cell C13 (Monthly Payment formula)</t>
  </si>
  <si>
    <t>2.  Data → What-If Analysis → Goal Seek</t>
  </si>
  <si>
    <t>3.  Set Cell: C13</t>
  </si>
  <si>
    <t>4.  To Value: 500</t>
  </si>
  <si>
    <t>5.  By Changing Cell: C10 (Loan Amount)</t>
  </si>
  <si>
    <t>6.  Click OK → Keep Solution</t>
  </si>
  <si>
    <t>Step 4 — Record Your Answer</t>
  </si>
  <si>
    <t>Maximum Loan Amount I Can Afford:</t>
  </si>
  <si>
    <t>$___</t>
  </si>
  <si>
    <t>GOAL SEEK — Break-Even Exercise</t>
  </si>
  <si>
    <t>Question: A product sells for $25. Fixed costs are $3,000 and variable cost is $10 per unit. How many units must be sold to BREAK EVEN (Profit = $0)?</t>
  </si>
  <si>
    <t>Selling Price per Unit ($)</t>
  </si>
  <si>
    <t>Variable Cost per Unit ($)</t>
  </si>
  <si>
    <t>Fixed Costs ($)</t>
  </si>
  <si>
    <t>Units Sold (starting value)</t>
  </si>
  <si>
    <t>Step 2 — Calculated Values</t>
  </si>
  <si>
    <t>Total Revenue:</t>
  </si>
  <si>
    <t>Total Variable Cost:</t>
  </si>
  <si>
    <t>Total Cost:</t>
  </si>
  <si>
    <t>Step 3 — Profit Formula (Goal Seek target)</t>
  </si>
  <si>
    <t>Profit:</t>
  </si>
  <si>
    <t>Step 4 — Run Goal Seek</t>
  </si>
  <si>
    <t>1.  Click cell C18 (Profit formula)</t>
  </si>
  <si>
    <t>3.  Set Cell: C18</t>
  </si>
  <si>
    <t>4.  To Value: 0  (break-even means zero profit)</t>
  </si>
  <si>
    <t>5.  By Changing Cell: C10 (Units Sold)</t>
  </si>
  <si>
    <t>Step 5 — Record Your Answer</t>
  </si>
  <si>
    <t>Break-Even Units:</t>
  </si>
  <si>
    <t>___</t>
  </si>
  <si>
    <t>GOAL SEEK — Savings Goal Exercise</t>
  </si>
  <si>
    <t>Question: You want to save $10,000 in 3 years. Your savings account earns 4% annual interest compounded monthly. What MONTHLY deposit do you need?</t>
  </si>
  <si>
    <t>Months to Save</t>
  </si>
  <si>
    <t>Monthly Deposit (starting)</t>
  </si>
  <si>
    <t>Future Value of Savings:</t>
  </si>
  <si>
    <t>1.  Click cell C12 (Future Value formula)</t>
  </si>
  <si>
    <t>3.  Set Cell: C12</t>
  </si>
  <si>
    <t>4.  To Value: 10000</t>
  </si>
  <si>
    <t>5.  By Changing Cell: C9 (Monthly Deposit)</t>
  </si>
  <si>
    <t>Required Monthly Deposit: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</si>
</sst>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0"/>
    <numFmt numFmtId="166" formatCode="$#,##0.00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74B5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4B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5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showGridLines="0" tabSelected="1" workbookViewId="0"/>
  </sheetViews>
  <sheetFormatPr defaultRowHeight="15"/>
  <cols>
    <col min="1" max="1" width="2.7109375" customWidth="1"/>
    <col min="2" max="2" width="55.7109375" customWidth="1"/>
    <col min="3" max="3" width="25.7109375" customWidth="1"/>
  </cols>
  <sheetData>
    <row r="1" spans="2:3" ht="6" customHeight="1"/>
    <row r="2" spans="2:3" ht="40" customHeight="1">
      <c r="B2" s="1" t="s">
        <v>0</v>
      </c>
      <c r="C2" s="1"/>
    </row>
    <row r="3" spans="2:3"/>
    <row r="4" spans="2:3" ht="30" customHeight="1">
      <c r="B4" s="2" t="s">
        <v>1</v>
      </c>
      <c r="C4" s="2"/>
    </row>
    <row r="5" spans="2:3" ht="90" customHeight="1">
      <c r="B5" s="3" t="s">
        <v>2</v>
      </c>
      <c r="C5" s="3"/>
    </row>
    <row r="6" spans="2:3"/>
    <row r="7" spans="2:3" ht="30" customHeight="1">
      <c r="B7" s="2" t="s">
        <v>3</v>
      </c>
      <c r="C7" s="2"/>
    </row>
    <row r="8" spans="2:3" ht="22" customHeight="1">
      <c r="B8" s="4" t="s">
        <v>4</v>
      </c>
      <c r="C8" s="5" t="s">
        <v>5</v>
      </c>
    </row>
    <row r="9" spans="2:3" ht="22" customHeight="1">
      <c r="B9" s="6" t="s">
        <v>6</v>
      </c>
      <c r="C9" s="5" t="s">
        <v>7</v>
      </c>
    </row>
    <row r="10" spans="2:3" ht="22" customHeight="1">
      <c r="B10" s="7" t="s">
        <v>8</v>
      </c>
      <c r="C10" s="5" t="s">
        <v>9</v>
      </c>
    </row>
    <row r="11" spans="2:3"/>
    <row r="12" spans="2:3" ht="30" customHeight="1">
      <c r="B12" s="2" t="s">
        <v>10</v>
      </c>
      <c r="C12" s="2"/>
    </row>
    <row r="13" spans="2:3" ht="20" customHeight="1">
      <c r="B13" s="8" t="s">
        <v>11</v>
      </c>
      <c r="C13" s="8"/>
    </row>
    <row r="14" spans="2:3" ht="20" customHeight="1">
      <c r="B14" s="8" t="s">
        <v>12</v>
      </c>
      <c r="C14" s="8"/>
    </row>
    <row r="15" spans="2:3" ht="20" customHeight="1">
      <c r="B15" s="8" t="s">
        <v>13</v>
      </c>
      <c r="C15" s="8"/>
    </row>
    <row r="16" spans="2:3" ht="20" customHeight="1">
      <c r="B16" s="8" t="s">
        <v>14</v>
      </c>
      <c r="C16" s="8"/>
    </row>
    <row r="17" spans="2:3" ht="20" customHeight="1">
      <c r="B17" s="8" t="s">
        <v>15</v>
      </c>
      <c r="C17" s="8"/>
    </row>
    <row r="18" spans="2:3" ht="20" customHeight="1">
      <c r="B18" s="8" t="s">
        <v>16</v>
      </c>
      <c r="C18" s="8"/>
    </row>
    <row r="19" spans="2:3" ht="20" customHeight="1">
      <c r="B19" s="8" t="s">
        <v>17</v>
      </c>
      <c r="C19" s="8"/>
    </row>
    <row r="20" spans="2:3" ht="20" customHeight="1">
      <c r="B20" s="8" t="s">
        <v>18</v>
      </c>
      <c r="C20" s="8"/>
    </row>
    <row r="21" spans="2:3"/>
    <row r="22" spans="2:3" ht="30" customHeight="1">
      <c r="B22" s="2" t="s">
        <v>19</v>
      </c>
      <c r="C22" s="2"/>
    </row>
    <row r="23" spans="2:3" ht="20" customHeight="1">
      <c r="B23" s="9" t="s">
        <v>20</v>
      </c>
      <c r="C23" s="5" t="s">
        <v>21</v>
      </c>
    </row>
    <row r="24" spans="2:3" ht="20" customHeight="1">
      <c r="B24" s="9" t="s">
        <v>22</v>
      </c>
      <c r="C24" s="5" t="s">
        <v>23</v>
      </c>
    </row>
    <row r="25" spans="2:3" ht="20" customHeight="1">
      <c r="B25" s="9" t="s">
        <v>24</v>
      </c>
      <c r="C25" s="5" t="s">
        <v>25</v>
      </c>
    </row>
  </sheetData>
  <mergeCells count="14">
    <mergeCell ref="B2:C2"/>
    <mergeCell ref="B4:C4"/>
    <mergeCell ref="B5:C5"/>
    <mergeCell ref="B7:C7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2:C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showGridLines="0" workbookViewId="0"/>
  </sheetViews>
  <sheetFormatPr defaultRowHeight="15"/>
  <cols>
    <col min="1" max="1" width="2.7109375" customWidth="1"/>
    <col min="2" max="2" width="35.7109375" customWidth="1"/>
    <col min="3" max="3" width="18.7109375" customWidth="1"/>
    <col min="4" max="4" width="22.7109375" customWidth="1"/>
  </cols>
  <sheetData>
    <row r="1" spans="2:4" ht="6" customHeight="1"/>
    <row r="2" spans="2:4" ht="40" customHeight="1">
      <c r="B2" s="1" t="s">
        <v>26</v>
      </c>
      <c r="C2" s="1"/>
      <c r="D2" s="1"/>
    </row>
    <row r="3" spans="2:4"/>
    <row r="4" spans="2:4" ht="50" customHeight="1">
      <c r="B4" s="3" t="s">
        <v>27</v>
      </c>
      <c r="C4" s="3"/>
      <c r="D4" s="3"/>
    </row>
    <row r="5" spans="2:4"/>
    <row r="6" spans="2:4" ht="30" customHeight="1">
      <c r="B6" s="2" t="s">
        <v>28</v>
      </c>
      <c r="C6" s="2"/>
      <c r="D6" s="2"/>
    </row>
    <row r="7" spans="2:4" ht="22" customHeight="1">
      <c r="B7" s="10" t="s">
        <v>29</v>
      </c>
      <c r="C7" s="11">
        <v>0.06</v>
      </c>
    </row>
    <row r="8" spans="2:4" ht="22" customHeight="1">
      <c r="B8" s="10" t="s">
        <v>30</v>
      </c>
      <c r="C8" s="12">
        <v>5</v>
      </c>
    </row>
    <row r="9" spans="2:4" ht="22" customHeight="1">
      <c r="B9" s="10" t="s">
        <v>31</v>
      </c>
      <c r="C9" s="12">
        <v>60</v>
      </c>
    </row>
    <row r="10" spans="2:4" ht="22" customHeight="1">
      <c r="B10" s="10" t="s">
        <v>32</v>
      </c>
      <c r="C10" s="13">
        <v>20000</v>
      </c>
    </row>
    <row r="11" spans="2:4"/>
    <row r="12" spans="2:4" ht="30" customHeight="1">
      <c r="B12" s="2" t="s">
        <v>33</v>
      </c>
      <c r="C12" s="2"/>
      <c r="D12" s="2"/>
    </row>
    <row r="13" spans="2:4" ht="25" customHeight="1">
      <c r="B13" s="10" t="s">
        <v>34</v>
      </c>
      <c r="C13" s="14">
        <f>PMT(C7/12,C9,-C10)</f>
        <v>0</v>
      </c>
      <c r="D13" s="5" t="s">
        <v>35</v>
      </c>
    </row>
    <row r="14" spans="2:4"/>
    <row r="15" spans="2:4" ht="30" customHeight="1">
      <c r="B15" s="2" t="s">
        <v>36</v>
      </c>
      <c r="C15" s="2"/>
      <c r="D15" s="2"/>
    </row>
    <row r="16" spans="2:4" ht="20" customHeight="1">
      <c r="B16" s="8" t="s">
        <v>37</v>
      </c>
      <c r="C16" s="8"/>
      <c r="D16" s="8"/>
    </row>
    <row r="17" spans="2:4" ht="20" customHeight="1">
      <c r="B17" s="8" t="s">
        <v>38</v>
      </c>
      <c r="C17" s="8"/>
      <c r="D17" s="8"/>
    </row>
    <row r="18" spans="2:4" ht="20" customHeight="1">
      <c r="B18" s="8" t="s">
        <v>39</v>
      </c>
      <c r="C18" s="8"/>
      <c r="D18" s="8"/>
    </row>
    <row r="19" spans="2:4" ht="20" customHeight="1">
      <c r="B19" s="8" t="s">
        <v>40</v>
      </c>
      <c r="C19" s="8"/>
      <c r="D19" s="8"/>
    </row>
    <row r="20" spans="2:4" ht="20" customHeight="1">
      <c r="B20" s="8" t="s">
        <v>41</v>
      </c>
      <c r="C20" s="8"/>
      <c r="D20" s="8"/>
    </row>
    <row r="21" spans="2:4" ht="20" customHeight="1">
      <c r="B21" s="8" t="s">
        <v>42</v>
      </c>
      <c r="C21" s="8"/>
      <c r="D21" s="8"/>
    </row>
    <row r="22" spans="2:4"/>
    <row r="23" spans="2:4" ht="30" customHeight="1">
      <c r="B23" s="2" t="s">
        <v>43</v>
      </c>
      <c r="C23" s="2"/>
      <c r="D23" s="2"/>
    </row>
    <row r="24" spans="2:4" ht="22" customHeight="1">
      <c r="B24" s="10" t="s">
        <v>44</v>
      </c>
      <c r="C24" s="15" t="s">
        <v>45</v>
      </c>
    </row>
  </sheetData>
  <mergeCells count="12">
    <mergeCell ref="B2:D2"/>
    <mergeCell ref="B4:D4"/>
    <mergeCell ref="B6:D6"/>
    <mergeCell ref="B12:D12"/>
    <mergeCell ref="B15:D15"/>
    <mergeCell ref="B16:D16"/>
    <mergeCell ref="B17:D17"/>
    <mergeCell ref="B18:D18"/>
    <mergeCell ref="B19:D19"/>
    <mergeCell ref="B20:D20"/>
    <mergeCell ref="B21:D21"/>
    <mergeCell ref="B23:D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showGridLines="0" workbookViewId="0"/>
  </sheetViews>
  <sheetFormatPr defaultRowHeight="15"/>
  <cols>
    <col min="1" max="1" width="2.7109375" customWidth="1"/>
    <col min="2" max="2" width="35.7109375" customWidth="1"/>
    <col min="3" max="3" width="18.7109375" customWidth="1"/>
    <col min="4" max="4" width="22.7109375" customWidth="1"/>
  </cols>
  <sheetData>
    <row r="1" spans="2:4" ht="6" customHeight="1"/>
    <row r="2" spans="2:4" ht="40" customHeight="1">
      <c r="B2" s="1" t="s">
        <v>46</v>
      </c>
      <c r="C2" s="1"/>
      <c r="D2" s="1"/>
    </row>
    <row r="3" spans="2:4"/>
    <row r="4" spans="2:4" ht="50" customHeight="1">
      <c r="B4" s="3" t="s">
        <v>47</v>
      </c>
      <c r="C4" s="3"/>
      <c r="D4" s="3"/>
    </row>
    <row r="5" spans="2:4"/>
    <row r="6" spans="2:4" ht="30" customHeight="1">
      <c r="B6" s="2" t="s">
        <v>28</v>
      </c>
      <c r="C6" s="2"/>
      <c r="D6" s="2"/>
    </row>
    <row r="7" spans="2:4" ht="22" customHeight="1">
      <c r="B7" s="10" t="s">
        <v>48</v>
      </c>
      <c r="C7" s="13">
        <v>25</v>
      </c>
    </row>
    <row r="8" spans="2:4" ht="22" customHeight="1">
      <c r="B8" s="10" t="s">
        <v>49</v>
      </c>
      <c r="C8" s="13">
        <v>10</v>
      </c>
    </row>
    <row r="9" spans="2:4" ht="22" customHeight="1">
      <c r="B9" s="10" t="s">
        <v>50</v>
      </c>
      <c r="C9" s="16">
        <v>3000</v>
      </c>
    </row>
    <row r="10" spans="2:4" ht="22" customHeight="1">
      <c r="B10" s="10" t="s">
        <v>51</v>
      </c>
      <c r="C10" s="12">
        <v>0</v>
      </c>
    </row>
    <row r="11" spans="2:4"/>
    <row r="12" spans="2:4" ht="30" customHeight="1">
      <c r="B12" s="2" t="s">
        <v>52</v>
      </c>
      <c r="C12" s="2"/>
      <c r="D12" s="2"/>
    </row>
    <row r="13" spans="2:4" ht="22" customHeight="1">
      <c r="B13" s="10" t="s">
        <v>53</v>
      </c>
      <c r="C13" s="17">
        <f>C7*C10</f>
        <v>0</v>
      </c>
    </row>
    <row r="14" spans="2:4" ht="22" customHeight="1">
      <c r="B14" s="10" t="s">
        <v>54</v>
      </c>
      <c r="C14" s="17">
        <f>C8*C10</f>
        <v>0</v>
      </c>
    </row>
    <row r="15" spans="2:4" ht="22" customHeight="1">
      <c r="B15" s="10" t="s">
        <v>55</v>
      </c>
      <c r="C15" s="17">
        <f>C9+C14</f>
        <v>0</v>
      </c>
    </row>
    <row r="16" spans="2:4"/>
    <row r="17" spans="2:4" ht="30" customHeight="1">
      <c r="B17" s="2" t="s">
        <v>56</v>
      </c>
      <c r="C17" s="2"/>
      <c r="D17" s="2"/>
    </row>
    <row r="18" spans="2:4" ht="25" customHeight="1">
      <c r="B18" s="10" t="s">
        <v>57</v>
      </c>
      <c r="C18" s="14">
        <f>C13-C15</f>
        <v>0</v>
      </c>
      <c r="D18" s="5" t="s">
        <v>35</v>
      </c>
    </row>
    <row r="19" spans="2:4"/>
    <row r="20" spans="2:4" ht="30" customHeight="1">
      <c r="B20" s="2" t="s">
        <v>58</v>
      </c>
      <c r="C20" s="2"/>
      <c r="D20" s="2"/>
    </row>
    <row r="21" spans="2:4" ht="20" customHeight="1">
      <c r="B21" s="8" t="s">
        <v>59</v>
      </c>
      <c r="C21" s="8"/>
      <c r="D21" s="8"/>
    </row>
    <row r="22" spans="2:4" ht="20" customHeight="1">
      <c r="B22" s="8" t="s">
        <v>38</v>
      </c>
      <c r="C22" s="8"/>
      <c r="D22" s="8"/>
    </row>
    <row r="23" spans="2:4" ht="20" customHeight="1">
      <c r="B23" s="8" t="s">
        <v>60</v>
      </c>
      <c r="C23" s="8"/>
      <c r="D23" s="8"/>
    </row>
    <row r="24" spans="2:4" ht="20" customHeight="1">
      <c r="B24" s="8" t="s">
        <v>61</v>
      </c>
      <c r="C24" s="8"/>
      <c r="D24" s="8"/>
    </row>
    <row r="25" spans="2:4" ht="20" customHeight="1">
      <c r="B25" s="8" t="s">
        <v>62</v>
      </c>
      <c r="C25" s="8"/>
      <c r="D25" s="8"/>
    </row>
    <row r="26" spans="2:4" ht="20" customHeight="1">
      <c r="B26" s="8" t="s">
        <v>42</v>
      </c>
      <c r="C26" s="8"/>
      <c r="D26" s="8"/>
    </row>
    <row r="27" spans="2:4"/>
    <row r="28" spans="2:4" ht="30" customHeight="1">
      <c r="B28" s="2" t="s">
        <v>63</v>
      </c>
      <c r="C28" s="2"/>
      <c r="D28" s="2"/>
    </row>
    <row r="29" spans="2:4" ht="22" customHeight="1">
      <c r="B29" s="10" t="s">
        <v>64</v>
      </c>
      <c r="C29" s="15" t="s">
        <v>65</v>
      </c>
    </row>
  </sheetData>
  <mergeCells count="13">
    <mergeCell ref="B2:D2"/>
    <mergeCell ref="B4:D4"/>
    <mergeCell ref="B6:D6"/>
    <mergeCell ref="B12:D12"/>
    <mergeCell ref="B17:D17"/>
    <mergeCell ref="B20:D20"/>
    <mergeCell ref="B21:D21"/>
    <mergeCell ref="B22:D22"/>
    <mergeCell ref="B23:D23"/>
    <mergeCell ref="B24:D24"/>
    <mergeCell ref="B25:D25"/>
    <mergeCell ref="B26:D26"/>
    <mergeCell ref="B28:D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showGridLines="0" workbookViewId="0"/>
  </sheetViews>
  <sheetFormatPr defaultRowHeight="15"/>
  <cols>
    <col min="1" max="1" width="2.7109375" customWidth="1"/>
    <col min="2" max="2" width="35.7109375" customWidth="1"/>
    <col min="3" max="3" width="18.7109375" customWidth="1"/>
    <col min="4" max="4" width="22.7109375" customWidth="1"/>
  </cols>
  <sheetData>
    <row r="1" spans="2:4" ht="6" customHeight="1"/>
    <row r="2" spans="2:4" ht="40" customHeight="1">
      <c r="B2" s="1" t="s">
        <v>66</v>
      </c>
      <c r="C2" s="1"/>
      <c r="D2" s="1"/>
    </row>
    <row r="3" spans="2:4"/>
    <row r="4" spans="2:4" ht="50" customHeight="1">
      <c r="B4" s="3" t="s">
        <v>67</v>
      </c>
      <c r="C4" s="3"/>
      <c r="D4" s="3"/>
    </row>
    <row r="5" spans="2:4"/>
    <row r="6" spans="2:4" ht="30" customHeight="1">
      <c r="B6" s="2" t="s">
        <v>28</v>
      </c>
      <c r="C6" s="2"/>
      <c r="D6" s="2"/>
    </row>
    <row r="7" spans="2:4" ht="22" customHeight="1">
      <c r="B7" s="10" t="s">
        <v>29</v>
      </c>
      <c r="C7" s="11">
        <v>0.04</v>
      </c>
    </row>
    <row r="8" spans="2:4" ht="22" customHeight="1">
      <c r="B8" s="10" t="s">
        <v>68</v>
      </c>
      <c r="C8" s="12">
        <v>36</v>
      </c>
    </row>
    <row r="9" spans="2:4" ht="22" customHeight="1">
      <c r="B9" s="10" t="s">
        <v>69</v>
      </c>
      <c r="C9" s="13">
        <v>0</v>
      </c>
    </row>
    <row r="10" spans="2:4"/>
    <row r="11" spans="2:4" ht="30" customHeight="1">
      <c r="B11" s="2" t="s">
        <v>33</v>
      </c>
      <c r="C11" s="2"/>
      <c r="D11" s="2"/>
    </row>
    <row r="12" spans="2:4" ht="25" customHeight="1">
      <c r="B12" s="10" t="s">
        <v>70</v>
      </c>
      <c r="C12" s="14">
        <f>FV(C7/12,C8,-C9)</f>
        <v>0</v>
      </c>
      <c r="D12" s="5" t="s">
        <v>35</v>
      </c>
    </row>
    <row r="13" spans="2:4"/>
    <row r="14" spans="2:4" ht="30" customHeight="1">
      <c r="B14" s="2" t="s">
        <v>36</v>
      </c>
      <c r="C14" s="2"/>
      <c r="D14" s="2"/>
    </row>
    <row r="15" spans="2:4" ht="20" customHeight="1">
      <c r="B15" s="8" t="s">
        <v>71</v>
      </c>
      <c r="C15" s="8"/>
      <c r="D15" s="8"/>
    </row>
    <row r="16" spans="2:4" ht="20" customHeight="1">
      <c r="B16" s="8" t="s">
        <v>38</v>
      </c>
      <c r="C16" s="8"/>
      <c r="D16" s="8"/>
    </row>
    <row r="17" spans="2:4" ht="20" customHeight="1">
      <c r="B17" s="8" t="s">
        <v>72</v>
      </c>
      <c r="C17" s="8"/>
      <c r="D17" s="8"/>
    </row>
    <row r="18" spans="2:4" ht="20" customHeight="1">
      <c r="B18" s="8" t="s">
        <v>73</v>
      </c>
      <c r="C18" s="8"/>
      <c r="D18" s="8"/>
    </row>
    <row r="19" spans="2:4" ht="20" customHeight="1">
      <c r="B19" s="8" t="s">
        <v>74</v>
      </c>
      <c r="C19" s="8"/>
      <c r="D19" s="8"/>
    </row>
    <row r="20" spans="2:4" ht="20" customHeight="1">
      <c r="B20" s="8" t="s">
        <v>42</v>
      </c>
      <c r="C20" s="8"/>
      <c r="D20" s="8"/>
    </row>
    <row r="21" spans="2:4"/>
    <row r="22" spans="2:4" ht="30" customHeight="1">
      <c r="B22" s="2" t="s">
        <v>43</v>
      </c>
      <c r="C22" s="2"/>
      <c r="D22" s="2"/>
    </row>
    <row r="23" spans="2:4" ht="22" customHeight="1">
      <c r="B23" s="10" t="s">
        <v>75</v>
      </c>
      <c r="C23" s="15" t="s">
        <v>45</v>
      </c>
    </row>
  </sheetData>
  <mergeCells count="12">
    <mergeCell ref="B2:D2"/>
    <mergeCell ref="B4:D4"/>
    <mergeCell ref="B6:D6"/>
    <mergeCell ref="B11:D11"/>
    <mergeCell ref="B14:D14"/>
    <mergeCell ref="B15:D15"/>
    <mergeCell ref="B16:D16"/>
    <mergeCell ref="B17:D17"/>
    <mergeCell ref="B18:D18"/>
    <mergeCell ref="B19:D19"/>
    <mergeCell ref="B20:D20"/>
    <mergeCell ref="B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Loan_Payment</vt:lpstr>
      <vt:lpstr>Break_Even</vt:lpstr>
      <vt:lpstr>Savings_Goal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2026-05-26T15:02:03Z</dcterms:created>
  <dcterms:modified xsi:type="dcterms:W3CDTF">2026-05-26T15:02:03Z</dcterms:modified>
</cp:coreProperties>
</file>