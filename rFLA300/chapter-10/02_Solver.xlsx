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duction_Mix" sheetId="2" state="visible" r:id="rId2"/>
    <sheet name="Diet_Probl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&quot;$&quot;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E75B6"/>
      <sz val="11"/>
    </font>
    <font>
      <name val="Calibri"/>
      <color rgb="00404040"/>
      <sz val="11"/>
    </font>
    <font>
      <name val="Calibri"/>
      <b val="1"/>
      <color rgb="00FFFFFF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b val="1"/>
      <color rgb="00404040"/>
      <sz val="11"/>
    </font>
    <font>
      <name val="Calibri"/>
      <color rgb="00404040"/>
    </font>
    <font>
      <name val="Calibri"/>
      <color rgb="00404040"/>
      <sz val="10"/>
    </font>
    <font>
      <name val="Calibri"/>
      <i val="1"/>
      <color rgb="00ED7D31"/>
      <sz val="9"/>
    </font>
    <font>
      <name val="Calibri"/>
      <i val="1"/>
      <color rgb="00404040"/>
      <sz val="9"/>
    </font>
    <font>
      <name val="Calibri"/>
      <b val="1"/>
      <color rgb="0040404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" fontId="8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horizontal="right" vertical="center"/>
    </xf>
    <xf numFmtId="1" fontId="8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top" wrapText="1"/>
    </xf>
    <xf numFmtId="0" fontId="6" fillId="6" borderId="0" applyAlignment="1" pivotButton="0" quotePrefix="0" xfId="0">
      <alignment horizontal="center" vertical="center"/>
    </xf>
    <xf numFmtId="1" fontId="8" fillId="7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6" fillId="8" borderId="0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165" fontId="12" fillId="9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166" fontId="8" fillId="0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12" fillId="9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8" customWidth="1" min="3" max="3"/>
  </cols>
  <sheetData>
    <row r="1" ht="8" customHeight="1"/>
    <row r="2" ht="36" customHeight="1">
      <c r="B2" s="1" t="inlineStr">
        <is>
          <t>Chapter 10 — Solver</t>
        </is>
      </c>
    </row>
    <row r="4" ht="8" customHeight="1"/>
    <row r="5" ht="70" customHeight="1">
      <c r="B5" s="2" t="inlineStr">
        <is>
          <t>WHAT IS SOLVER?</t>
        </is>
      </c>
      <c r="C5" s="3" t="inlineStr">
        <is>
          <t>Solver is an Excel add-in that finds an optimal value for a formula in one cell (the objective) by adjusting the values of other cells (the decision variables), subject to constraints you define.</t>
        </is>
      </c>
    </row>
    <row r="6" ht="8" customHeight="1"/>
    <row r="7" ht="70" customHeight="1">
      <c r="B7" s="2" t="inlineStr">
        <is>
          <t>THREE COMPONENTS</t>
        </is>
      </c>
      <c r="C7" s="3" t="inlineStr">
        <is>
          <t>1. OBJECTIVE CELL — the cell you want to maximize, minimize, or set to a specific value.
2. VARIABLE CELLS — the cells Solver can change to reach the objective.
3. CONSTRAINTS — rules that limit what values the variable cells can take.</t>
        </is>
      </c>
    </row>
    <row r="8" ht="8" customHeight="1"/>
    <row r="9" ht="70" customHeight="1">
      <c r="B9" s="2" t="inlineStr">
        <is>
          <t>WHERE TO FIND IT</t>
        </is>
      </c>
      <c r="C9" s="3" t="inlineStr">
        <is>
          <t>Data tab  →  Analyze group  →  Solver
(If Solver is missing: File → Options → Add-ins → Manage: Excel Add-ins → Go → check Solver Add-in)</t>
        </is>
      </c>
    </row>
    <row r="10" ht="8" customHeight="1"/>
    <row r="11" ht="70" customHeight="1">
      <c r="B11" s="2" t="inlineStr">
        <is>
          <t>TYPICAL USES</t>
        </is>
      </c>
      <c r="C11" s="3" t="inlineStr">
        <is>
          <t>• Maximize profit given limited resources (labor, materials, budget)
• Minimize cost while meeting demand requirements
• Find the best product mix
• Schedule staff efficiently</t>
        </is>
      </c>
    </row>
    <row r="12" ht="8" customHeight="1"/>
    <row r="13" ht="70" customHeight="1">
      <c r="B13" s="2" t="inlineStr">
        <is>
          <t>YOUR PRACTICE FILES</t>
        </is>
      </c>
      <c r="C13" s="3" t="inlineStr">
        <is>
          <t>Sheet  Production_Mix  — maximize profit with two products and three resource constraints.
Sheet  Diet_Problem    — minimize cost while meeting nutritional requirements.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</cols>
  <sheetData>
    <row r="1" ht="6" customHeight="1"/>
    <row r="2" ht="34" customHeight="1">
      <c r="B2" s="4" t="inlineStr">
        <is>
          <t>Solver Practice — Production Mix Optimization</t>
        </is>
      </c>
    </row>
    <row r="3" ht="8" customHeight="1"/>
    <row r="4" ht="32" customHeight="1">
      <c r="B4" s="5" t="inlineStr">
        <is>
          <t>A small factory produces two products: Desk Lamps and Floor Lamps.  Use Solver to find how many of each to produce to MAXIMIZE TOTAL PROFIT without exceeding any resource constraints.</t>
        </is>
      </c>
    </row>
    <row r="5" ht="8" customHeight="1"/>
    <row r="6" ht="24" customHeight="1">
      <c r="B6" s="6" t="inlineStr">
        <is>
          <t>Product Information (Fixed Data — do not change)</t>
        </is>
      </c>
    </row>
    <row r="7" ht="24" customHeight="1">
      <c r="B7" s="7" t="inlineStr">
        <is>
          <t>Resource / Metric</t>
        </is>
      </c>
      <c r="C7" s="7" t="inlineStr">
        <is>
          <t>Desk Lamp</t>
        </is>
      </c>
      <c r="D7" s="7" t="inlineStr">
        <is>
          <t>Floor Lamp</t>
        </is>
      </c>
      <c r="E7" s="7" t="inlineStr">
        <is>
          <t>Available</t>
        </is>
      </c>
      <c r="F7" s="7" t="inlineStr">
        <is>
          <t>Constraint</t>
        </is>
      </c>
    </row>
    <row r="8" ht="22" customHeight="1">
      <c r="B8" s="8" t="inlineStr">
        <is>
          <t>Profit per Unit ($)</t>
        </is>
      </c>
      <c r="C8" s="9" t="n">
        <v>45</v>
      </c>
      <c r="D8" s="9" t="n">
        <v>65</v>
      </c>
      <c r="E8" s="10" t="n"/>
      <c r="F8" s="10" t="n"/>
    </row>
    <row r="9" ht="22" customHeight="1">
      <c r="B9" s="11" t="inlineStr">
        <is>
          <t>Assembly Labor (hours)</t>
        </is>
      </c>
      <c r="C9" s="12" t="n">
        <v>2.5</v>
      </c>
      <c r="D9" s="12" t="n">
        <v>4</v>
      </c>
      <c r="E9" s="13" t="n">
        <v>200</v>
      </c>
      <c r="F9" s="14" t="inlineStr">
        <is>
          <t>≤ Available</t>
        </is>
      </c>
    </row>
    <row r="10" ht="22" customHeight="1">
      <c r="B10" s="11" t="inlineStr">
        <is>
          <t>Finishing Labor (hours)</t>
        </is>
      </c>
      <c r="C10" s="12" t="n">
        <v>1</v>
      </c>
      <c r="D10" s="12" t="n">
        <v>1.5</v>
      </c>
      <c r="E10" s="13" t="n">
        <v>90</v>
      </c>
      <c r="F10" s="14" t="inlineStr">
        <is>
          <t>≤ Available</t>
        </is>
      </c>
    </row>
    <row r="11" ht="22" customHeight="1">
      <c r="B11" s="11" t="inlineStr">
        <is>
          <t>Materials (units)</t>
        </is>
      </c>
      <c r="C11" s="9" t="n">
        <v>3</v>
      </c>
      <c r="D11" s="9" t="n">
        <v>5</v>
      </c>
      <c r="E11" s="13" t="n">
        <v>300</v>
      </c>
      <c r="F11" s="14" t="inlineStr">
        <is>
          <t>≤ Available</t>
        </is>
      </c>
    </row>
    <row r="12" ht="22" customHeight="1">
      <c r="B12" s="11" t="inlineStr">
        <is>
          <t>Min. Demand — Desk Lamp</t>
        </is>
      </c>
      <c r="C12" s="10" t="n"/>
      <c r="D12" s="10" t="n"/>
      <c r="E12" s="13" t="n">
        <v>10</v>
      </c>
      <c r="F12" s="14" t="inlineStr">
        <is>
          <t>≥ Min</t>
        </is>
      </c>
    </row>
    <row r="13" ht="22" customHeight="1">
      <c r="B13" s="11" t="inlineStr">
        <is>
          <t>Min. Demand — Floor Lamp</t>
        </is>
      </c>
      <c r="C13" s="10" t="n"/>
      <c r="D13" s="10" t="n"/>
      <c r="E13" s="13" t="n">
        <v>5</v>
      </c>
      <c r="F13" s="14" t="inlineStr">
        <is>
          <t>≥ Min</t>
        </is>
      </c>
    </row>
    <row r="14" ht="22" customHeight="1">
      <c r="B14" s="11" t="inlineStr">
        <is>
          <t>Max. Demand — Desk Lamp</t>
        </is>
      </c>
      <c r="C14" s="10" t="n"/>
      <c r="D14" s="10" t="n"/>
      <c r="E14" s="13" t="n">
        <v>60</v>
      </c>
      <c r="F14" s="14" t="inlineStr">
        <is>
          <t>≤ Max</t>
        </is>
      </c>
    </row>
    <row r="15" ht="22" customHeight="1">
      <c r="B15" s="11" t="inlineStr">
        <is>
          <t>Max. Demand — Floor Lamp</t>
        </is>
      </c>
      <c r="C15" s="10" t="n"/>
      <c r="D15" s="10" t="n"/>
      <c r="E15" s="13" t="n">
        <v>40</v>
      </c>
      <c r="F15" s="14" t="inlineStr">
        <is>
          <t>≤ Max</t>
        </is>
      </c>
    </row>
    <row r="16" ht="10" customHeight="1"/>
    <row r="17" ht="24" customHeight="1">
      <c r="B17" s="15" t="inlineStr">
        <is>
          <t>Decision Variables  (Solver Will Change These Cells)</t>
        </is>
      </c>
    </row>
    <row r="18" ht="24" customHeight="1">
      <c r="B18" s="7" t="inlineStr">
        <is>
          <t>Variable</t>
        </is>
      </c>
      <c r="C18" s="7" t="inlineStr">
        <is>
          <t>Current Value</t>
        </is>
      </c>
      <c r="D18" s="7" t="inlineStr">
        <is>
          <t>Units</t>
        </is>
      </c>
      <c r="E18" s="7" t="inlineStr">
        <is>
          <t>Description</t>
        </is>
      </c>
    </row>
    <row r="19" ht="22" customHeight="1">
      <c r="B19" s="8" t="inlineStr">
        <is>
          <t>Desk Lamps to Produce</t>
        </is>
      </c>
      <c r="C19" s="16" t="n">
        <v>20</v>
      </c>
      <c r="D19" s="17" t="inlineStr">
        <is>
          <t>units</t>
        </is>
      </c>
      <c r="E19" s="18" t="inlineStr">
        <is>
          <t>Start value — Solver will find the optimal quantity</t>
        </is>
      </c>
    </row>
    <row r="20" ht="22" customHeight="1">
      <c r="B20" s="8" t="inlineStr">
        <is>
          <t>Floor Lamps to Produce</t>
        </is>
      </c>
      <c r="C20" s="16" t="n">
        <v>10</v>
      </c>
      <c r="D20" s="17" t="inlineStr">
        <is>
          <t>units</t>
        </is>
      </c>
      <c r="E20" s="18" t="inlineStr">
        <is>
          <t>Start value — Solver will find the optimal quantity</t>
        </is>
      </c>
    </row>
    <row r="21" ht="10" customHeight="1"/>
    <row r="22" ht="24" customHeight="1">
      <c r="B22" s="19" t="inlineStr">
        <is>
          <t>Objective Function  (Cell to Maximize — Result Cell)</t>
        </is>
      </c>
    </row>
    <row r="23" ht="24" customHeight="1">
      <c r="B23" s="7" t="inlineStr">
        <is>
          <t>Metric</t>
        </is>
      </c>
      <c r="C23" s="7" t="inlineStr">
        <is>
          <t>Formula</t>
        </is>
      </c>
      <c r="D23" s="7" t="inlineStr">
        <is>
          <t>Current Value</t>
        </is>
      </c>
    </row>
    <row r="24" ht="22" customHeight="1">
      <c r="B24" s="8" t="inlineStr">
        <is>
          <t>Total Profit</t>
        </is>
      </c>
      <c r="C24" s="20">
        <f>C19*C8 + C20*C8   (Desk Profit + Floor Profit)</f>
        <v/>
      </c>
      <c r="D24" s="21">
        <f>(C19*45)+(C20*65)</f>
        <v/>
      </c>
    </row>
    <row r="25" ht="10" customHeight="1"/>
    <row r="26" ht="24" customHeight="1">
      <c r="B26" s="22" t="inlineStr">
        <is>
          <t>Resource Usage  (Calculated — used in Constraints)</t>
        </is>
      </c>
    </row>
    <row r="27" ht="24" customHeight="1">
      <c r="B27" s="7" t="inlineStr">
        <is>
          <t>Resource</t>
        </is>
      </c>
      <c r="C27" s="7" t="inlineStr">
        <is>
          <t>Used</t>
        </is>
      </c>
      <c r="D27" s="7" t="inlineStr">
        <is>
          <t>Available</t>
        </is>
      </c>
      <c r="E27" s="7" t="inlineStr">
        <is>
          <t>Remaining</t>
        </is>
      </c>
      <c r="F27" s="7" t="inlineStr">
        <is>
          <t>Status</t>
        </is>
      </c>
    </row>
    <row r="28" ht="22" customHeight="1">
      <c r="B28" s="11" t="inlineStr">
        <is>
          <t>Assembly Labor (hrs)</t>
        </is>
      </c>
      <c r="C28" s="12">
        <f>C19*2.5+C20*4.0</f>
        <v/>
      </c>
      <c r="D28" s="9" t="n">
        <v>200</v>
      </c>
      <c r="E28" s="23">
        <f>D28-C28</f>
        <v/>
      </c>
      <c r="F28" s="24">
        <f>IF(C28&gt;D28,"OVER LIMIT ⚠","OK ✓")</f>
        <v/>
      </c>
    </row>
    <row r="29" ht="22" customHeight="1">
      <c r="B29" s="11" t="inlineStr">
        <is>
          <t>Finishing Labor (hrs)</t>
        </is>
      </c>
      <c r="C29" s="12">
        <f>C19*1.0+C20*1.5</f>
        <v/>
      </c>
      <c r="D29" s="9" t="n">
        <v>90</v>
      </c>
      <c r="E29" s="23">
        <f>D29-C29</f>
        <v/>
      </c>
      <c r="F29" s="24">
        <f>IF(C29&gt;D29,"OVER LIMIT ⚠","OK ✓")</f>
        <v/>
      </c>
    </row>
    <row r="30" ht="22" customHeight="1">
      <c r="B30" s="11" t="inlineStr">
        <is>
          <t>Materials (units)</t>
        </is>
      </c>
      <c r="C30" s="12">
        <f>C19*3+C20*5</f>
        <v/>
      </c>
      <c r="D30" s="9" t="n">
        <v>300</v>
      </c>
      <c r="E30" s="23">
        <f>D30-C30</f>
        <v/>
      </c>
      <c r="F30" s="24">
        <f>IF(C30&gt;D30,"OVER LIMIT ⚠","OK ✓")</f>
        <v/>
      </c>
    </row>
    <row r="31" ht="10" customHeight="1"/>
    <row r="32" ht="24" customHeight="1">
      <c r="B32" s="25" t="inlineStr">
        <is>
          <t>How to Set Up Solver</t>
        </is>
      </c>
    </row>
    <row r="33" ht="20" customHeight="1">
      <c r="B33" s="26" t="inlineStr">
        <is>
          <t>1.  Data tab  →  Solver  (if missing, enable via File → Options → Add-ins → Solver Add-in).</t>
        </is>
      </c>
    </row>
    <row r="34" ht="20" customHeight="1">
      <c r="B34" s="26" t="inlineStr">
        <is>
          <t>2.  Set Objective:  click cell D24 (Total Profit).  Select Max.</t>
        </is>
      </c>
    </row>
    <row r="35" ht="20" customHeight="1">
      <c r="B35" s="26" t="inlineStr">
        <is>
          <t>3.  By Changing Variable Cells:  select C19:C20 (your decision variables).</t>
        </is>
      </c>
    </row>
    <row r="36" ht="20" customHeight="1">
      <c r="B36" s="26" t="inlineStr">
        <is>
          <t>4.  Add Constraints:</t>
        </is>
      </c>
    </row>
    <row r="37" ht="20" customHeight="1">
      <c r="B37" s="26" t="inlineStr">
        <is>
          <t xml:space="preserve">    • C28 &lt;= D28   (Assembly Labor used ≤ available)</t>
        </is>
      </c>
    </row>
    <row r="38" ht="20" customHeight="1">
      <c r="B38" s="26" t="inlineStr">
        <is>
          <t xml:space="preserve">    • C29 &lt;= D29   (Finishing Labor used ≤ available)</t>
        </is>
      </c>
    </row>
    <row r="39" ht="20" customHeight="1">
      <c r="B39" s="26" t="inlineStr">
        <is>
          <t xml:space="preserve">    • C30 &lt;= D30   (Materials used ≤ available)</t>
        </is>
      </c>
    </row>
    <row r="40" ht="20" customHeight="1">
      <c r="B40" s="26" t="inlineStr">
        <is>
          <t xml:space="preserve">    • C19 &gt;= 10    (Min demand: Desk Lamp)</t>
        </is>
      </c>
    </row>
    <row r="41" ht="20" customHeight="1">
      <c r="B41" s="26" t="inlineStr">
        <is>
          <t xml:space="preserve">    • C20 &gt;= 5     (Min demand: Floor Lamp)</t>
        </is>
      </c>
    </row>
    <row r="42" ht="20" customHeight="1">
      <c r="B42" s="26" t="inlineStr">
        <is>
          <t xml:space="preserve">    • C19 &lt;= 60    (Max demand: Desk Lamp)</t>
        </is>
      </c>
    </row>
    <row r="43" ht="20" customHeight="1">
      <c r="B43" s="26" t="inlineStr">
        <is>
          <t xml:space="preserve">    • C20 &lt;= 40    (Max demand: Floor Lamp)</t>
        </is>
      </c>
    </row>
    <row r="44" ht="20" customHeight="1">
      <c r="B44" s="26" t="inlineStr">
        <is>
          <t xml:space="preserve">    • C19 = integer  (you cannot produce a fraction of a lamp)</t>
        </is>
      </c>
    </row>
    <row r="45" ht="20" customHeight="1">
      <c r="B45" s="26" t="inlineStr">
        <is>
          <t xml:space="preserve">    • C20 = integer</t>
        </is>
      </c>
    </row>
    <row r="46" ht="20" customHeight="1">
      <c r="B46" s="26" t="inlineStr">
        <is>
          <t>5.  Select Solving Method:  Simplex LP  (or GRG Nonlinear).</t>
        </is>
      </c>
    </row>
    <row r="47" ht="20" customHeight="1">
      <c r="B47" s="26" t="inlineStr">
        <is>
          <t>6.  Click Solve.  Review the results.  Choose Keep Solver Solution.</t>
        </is>
      </c>
    </row>
    <row r="48" ht="20" customHeight="1">
      <c r="B48" s="26" t="inlineStr">
        <is>
          <t>7.  Record: How many Desk Lamps? ______  Floor Lamps? ______  Total Profit? ______</t>
        </is>
      </c>
    </row>
  </sheetData>
  <mergeCells count="22">
    <mergeCell ref="B47:F47"/>
    <mergeCell ref="B46:F46"/>
    <mergeCell ref="B22:F22"/>
    <mergeCell ref="B43:F43"/>
    <mergeCell ref="B39:F39"/>
    <mergeCell ref="B2:F2"/>
    <mergeCell ref="B48:F48"/>
    <mergeCell ref="B42:F42"/>
    <mergeCell ref="B17:F17"/>
    <mergeCell ref="B44:F44"/>
    <mergeCell ref="B38:F38"/>
    <mergeCell ref="B34:F34"/>
    <mergeCell ref="B37:F37"/>
    <mergeCell ref="B40:F40"/>
    <mergeCell ref="B6:F6"/>
    <mergeCell ref="B33:F33"/>
    <mergeCell ref="B45:F45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6" customHeight="1"/>
    <row r="2" ht="34" customHeight="1">
      <c r="B2" s="4" t="inlineStr">
        <is>
          <t>Solver Challenge — Minimum Cost Diet Problem</t>
        </is>
      </c>
    </row>
    <row r="3" ht="8" customHeight="1"/>
    <row r="4" ht="36" customHeight="1">
      <c r="B4" s="5" t="inlineStr">
        <is>
          <t>A cafeteria manager wants to plan a daily meal that meets minimum nutritional requirements at the LOWEST POSSIBLE COST. Use Solver to find the cheapest combination of food quantities that still satisfies all nutritional constraints.</t>
        </is>
      </c>
    </row>
    <row r="5" ht="8" customHeight="1"/>
    <row r="6" ht="24" customHeight="1">
      <c r="B6" s="6" t="inlineStr">
        <is>
          <t>Food Data (per serving)</t>
        </is>
      </c>
    </row>
    <row r="7" ht="24" customHeight="1">
      <c r="B7" s="7" t="inlineStr">
        <is>
          <t>Food Item</t>
        </is>
      </c>
      <c r="C7" s="7" t="inlineStr">
        <is>
          <t>Cost/Serving ($)</t>
        </is>
      </c>
      <c r="D7" s="7" t="inlineStr">
        <is>
          <t>Protein (g)</t>
        </is>
      </c>
      <c r="E7" s="7" t="inlineStr">
        <is>
          <t>Carbs (g)</t>
        </is>
      </c>
      <c r="F7" s="7" t="inlineStr">
        <is>
          <t>Fat (g)</t>
        </is>
      </c>
      <c r="G7" s="7" t="inlineStr">
        <is>
          <t>Calories</t>
        </is>
      </c>
    </row>
    <row r="8" ht="22" customHeight="1">
      <c r="B8" s="11" t="inlineStr">
        <is>
          <t>Chicken (100g)</t>
        </is>
      </c>
      <c r="C8" s="27" t="n">
        <v>1.5</v>
      </c>
      <c r="D8" s="9" t="n">
        <v>31</v>
      </c>
      <c r="E8" s="9" t="n">
        <v>0</v>
      </c>
      <c r="F8" s="12" t="n">
        <v>3.6</v>
      </c>
      <c r="G8" s="9" t="n">
        <v>165</v>
      </c>
    </row>
    <row r="9" ht="22" customHeight="1">
      <c r="B9" s="11" t="inlineStr">
        <is>
          <t>Rice (1 cup)</t>
        </is>
      </c>
      <c r="C9" s="27" t="n">
        <v>0.4</v>
      </c>
      <c r="D9" s="9" t="n">
        <v>5</v>
      </c>
      <c r="E9" s="9" t="n">
        <v>45</v>
      </c>
      <c r="F9" s="12" t="n">
        <v>0.4</v>
      </c>
      <c r="G9" s="9" t="n">
        <v>206</v>
      </c>
    </row>
    <row r="10" ht="22" customHeight="1">
      <c r="B10" s="11" t="inlineStr">
        <is>
          <t>Broccoli (1 cup)</t>
        </is>
      </c>
      <c r="C10" s="27" t="n">
        <v>0.8</v>
      </c>
      <c r="D10" s="9" t="n">
        <v>4</v>
      </c>
      <c r="E10" s="9" t="n">
        <v>11</v>
      </c>
      <c r="F10" s="12" t="n">
        <v>0.4</v>
      </c>
      <c r="G10" s="9" t="n">
        <v>55</v>
      </c>
    </row>
    <row r="11" ht="22" customHeight="1">
      <c r="B11" s="11" t="inlineStr">
        <is>
          <t>Milk (1 cup)</t>
        </is>
      </c>
      <c r="C11" s="27" t="n">
        <v>0.6</v>
      </c>
      <c r="D11" s="9" t="n">
        <v>8</v>
      </c>
      <c r="E11" s="9" t="n">
        <v>12</v>
      </c>
      <c r="F11" s="12" t="n">
        <v>5</v>
      </c>
      <c r="G11" s="9" t="n">
        <v>122</v>
      </c>
    </row>
    <row r="12" ht="22" customHeight="1">
      <c r="B12" s="11" t="inlineStr">
        <is>
          <t>Eggs (1 large)</t>
        </is>
      </c>
      <c r="C12" s="27" t="n">
        <v>0.25</v>
      </c>
      <c r="D12" s="9" t="n">
        <v>6</v>
      </c>
      <c r="E12" s="9" t="n">
        <v>1</v>
      </c>
      <c r="F12" s="12" t="n">
        <v>5</v>
      </c>
      <c r="G12" s="9" t="n">
        <v>78</v>
      </c>
    </row>
    <row r="13" ht="10" customHeight="1"/>
    <row r="14" ht="24" customHeight="1">
      <c r="B14" s="15" t="inlineStr">
        <is>
          <t>Decision Variables — Servings of Each Food (Solver Changes These)</t>
        </is>
      </c>
    </row>
    <row r="15" ht="24" customHeight="1">
      <c r="B15" s="7" t="inlineStr">
        <is>
          <t>Food Item</t>
        </is>
      </c>
      <c r="C15" s="7" t="inlineStr">
        <is>
          <t>Servings</t>
        </is>
      </c>
    </row>
    <row r="16" ht="22" customHeight="1">
      <c r="B16" s="11" t="inlineStr">
        <is>
          <t>Chicken</t>
        </is>
      </c>
      <c r="C16" s="28" t="n">
        <v>1</v>
      </c>
    </row>
    <row r="17" ht="22" customHeight="1">
      <c r="B17" s="11" t="inlineStr">
        <is>
          <t>Rice</t>
        </is>
      </c>
      <c r="C17" s="28" t="n">
        <v>1</v>
      </c>
    </row>
    <row r="18" ht="22" customHeight="1">
      <c r="B18" s="11" t="inlineStr">
        <is>
          <t>Broccoli</t>
        </is>
      </c>
      <c r="C18" s="28" t="n">
        <v>1</v>
      </c>
    </row>
    <row r="19" ht="22" customHeight="1">
      <c r="B19" s="11" t="inlineStr">
        <is>
          <t>Milk</t>
        </is>
      </c>
      <c r="C19" s="28" t="n">
        <v>1</v>
      </c>
    </row>
    <row r="20" ht="22" customHeight="1">
      <c r="B20" s="11" t="inlineStr">
        <is>
          <t>Eggs</t>
        </is>
      </c>
      <c r="C20" s="28" t="n">
        <v>1</v>
      </c>
    </row>
    <row r="21" ht="10" customHeight="1"/>
    <row r="22" ht="24" customHeight="1">
      <c r="B22" s="19" t="inlineStr">
        <is>
          <t>Objective — Total Daily Cost (Minimize This Cell)</t>
        </is>
      </c>
    </row>
    <row r="23" ht="22" customHeight="1">
      <c r="B23" s="29" t="inlineStr">
        <is>
          <t>Total Cost</t>
        </is>
      </c>
      <c r="C23" s="30">
        <f>C16*1.50+C17*0.40+C18*0.80+C19*0.60+C20*0.25</f>
        <v/>
      </c>
    </row>
    <row r="24" ht="10" customHeight="1"/>
    <row r="25" ht="24" customHeight="1">
      <c r="B25" s="22" t="inlineStr">
        <is>
          <t>Nutritional Totals vs. Requirements</t>
        </is>
      </c>
    </row>
    <row r="26" ht="24" customHeight="1">
      <c r="B26" s="7" t="inlineStr">
        <is>
          <t>Nutrient</t>
        </is>
      </c>
      <c r="C26" s="7" t="inlineStr">
        <is>
          <t>Total Consumed</t>
        </is>
      </c>
      <c r="D26" s="7" t="inlineStr">
        <is>
          <t>Minimum Req.</t>
        </is>
      </c>
      <c r="E26" s="7" t="inlineStr">
        <is>
          <t>Met?</t>
        </is>
      </c>
    </row>
    <row r="27" ht="22" customHeight="1">
      <c r="B27" s="11" t="inlineStr">
        <is>
          <t>Protein (g)</t>
        </is>
      </c>
      <c r="C27" s="23">
        <f>C16*31+C17*5+C18*4+C19*8+C20*6</f>
        <v/>
      </c>
      <c r="D27" s="9" t="n">
        <v>50</v>
      </c>
      <c r="E27" s="24">
        <f>IF(C27&gt;=D27,"✓ Met","✗ Not Met")</f>
        <v/>
      </c>
    </row>
    <row r="28" ht="22" customHeight="1">
      <c r="B28" s="11" t="inlineStr">
        <is>
          <t>Carbs (g)</t>
        </is>
      </c>
      <c r="C28" s="23">
        <f>C16*0+C17*45+C18*11+C19*12+C20*1</f>
        <v/>
      </c>
      <c r="D28" s="9" t="n">
        <v>130</v>
      </c>
      <c r="E28" s="24">
        <f>IF(C28&gt;=D28,"✓ Met","✗ Not Met")</f>
        <v/>
      </c>
    </row>
    <row r="29" ht="22" customHeight="1">
      <c r="B29" s="11" t="inlineStr">
        <is>
          <t>Fat (g)</t>
        </is>
      </c>
      <c r="C29" s="23">
        <f>C16*3.6+C17*0.4+C18*0.4+C19*5+C20*5</f>
        <v/>
      </c>
      <c r="D29" s="9" t="n">
        <v>20</v>
      </c>
      <c r="E29" s="24">
        <f>IF(C29&gt;=D29,"✓ Met","✗ Not Met")</f>
        <v/>
      </c>
    </row>
    <row r="30" ht="22" customHeight="1">
      <c r="B30" s="11" t="inlineStr">
        <is>
          <t>Calories</t>
        </is>
      </c>
      <c r="C30" s="23">
        <f>C16*165+C17*206+C18*55+C19*122+C20*78</f>
        <v/>
      </c>
      <c r="D30" s="9" t="n">
        <v>500</v>
      </c>
      <c r="E30" s="24">
        <f>IF(C30&gt;=D30,"✓ Met","✗ Not Met")</f>
        <v/>
      </c>
    </row>
    <row r="31" ht="10" customHeight="1"/>
    <row r="32" ht="24" customHeight="1">
      <c r="B32" s="25" t="inlineStr">
        <is>
          <t>How to Set Up Solver for This Problem</t>
        </is>
      </c>
    </row>
    <row r="33" ht="20" customHeight="1">
      <c r="B33" s="26" t="inlineStr">
        <is>
          <t>1.  Open Solver: Data tab → Solver.</t>
        </is>
      </c>
    </row>
    <row r="34" ht="20" customHeight="1">
      <c r="B34" s="26" t="inlineStr">
        <is>
          <t>2.  Set Objective:  cell C23 (Total Cost).  Select Min.</t>
        </is>
      </c>
    </row>
    <row r="35" ht="20" customHeight="1">
      <c r="B35" s="26" t="inlineStr">
        <is>
          <t>3.  By Changing Variable Cells:  C16:C20 (servings of each food).</t>
        </is>
      </c>
    </row>
    <row r="36" ht="20" customHeight="1">
      <c r="B36" s="26" t="inlineStr">
        <is>
          <t>4.  Add Constraints:</t>
        </is>
      </c>
    </row>
    <row r="37" ht="20" customHeight="1">
      <c r="B37" s="26" t="inlineStr">
        <is>
          <t xml:space="preserve">    • C27 &gt;= D27   (Protein ≥ 50 g)</t>
        </is>
      </c>
    </row>
    <row r="38" ht="20" customHeight="1">
      <c r="B38" s="26" t="inlineStr">
        <is>
          <t xml:space="preserve">    • C28 &gt;= D28   (Carbs ≥ 130 g)</t>
        </is>
      </c>
    </row>
    <row r="39" ht="20" customHeight="1">
      <c r="B39" s="26" t="inlineStr">
        <is>
          <t xml:space="preserve">    • C29 &gt;= D29   (Fat ≥ 20 g)</t>
        </is>
      </c>
    </row>
    <row r="40" ht="20" customHeight="1">
      <c r="B40" s="26" t="inlineStr">
        <is>
          <t xml:space="preserve">    • C30 &gt;= D30   (Calories ≥ 500)</t>
        </is>
      </c>
    </row>
    <row r="41" ht="20" customHeight="1">
      <c r="B41" s="26" t="inlineStr">
        <is>
          <t xml:space="preserve">    • C16:C20 &gt;= 0  (Cannot have negative servings)</t>
        </is>
      </c>
    </row>
    <row r="42" ht="20" customHeight="1">
      <c r="B42" s="26" t="inlineStr">
        <is>
          <t>5.  Solving Method:  GRG Nonlinear  (quantities don't have to be whole numbers).</t>
        </is>
      </c>
    </row>
    <row r="43" ht="20" customHeight="1">
      <c r="B43" s="26" t="inlineStr">
        <is>
          <t>6.  Click Solve.  Record the optimal servings and minimum cost.</t>
        </is>
      </c>
    </row>
    <row r="44" ht="20" customHeight="1">
      <c r="B44" s="26" t="inlineStr">
        <is>
          <t>7.  Compare results with a classmate.  Did you get the same answer?</t>
        </is>
      </c>
    </row>
  </sheetData>
  <mergeCells count="20">
    <mergeCell ref="B2:G2"/>
    <mergeCell ref="B42:G42"/>
    <mergeCell ref="B14:G14"/>
    <mergeCell ref="B44:G44"/>
    <mergeCell ref="B38:G38"/>
    <mergeCell ref="B34:G34"/>
    <mergeCell ref="B37:G37"/>
    <mergeCell ref="B40:G40"/>
    <mergeCell ref="B33:G33"/>
    <mergeCell ref="B6:G6"/>
    <mergeCell ref="B36:G36"/>
    <mergeCell ref="B41:G41"/>
    <mergeCell ref="B32:G32"/>
    <mergeCell ref="B4:G4"/>
    <mergeCell ref="B35:G35"/>
    <mergeCell ref="C23:G23"/>
    <mergeCell ref="B25:G25"/>
    <mergeCell ref="B22:G22"/>
    <mergeCell ref="B43:G43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2026-05-26T14:27:38Z</dcterms:created>
  <dcterms:modified xsi:type="dcterms:W3CDTF">2026-05-26T14:27:38Z</dcterms:modified>
</cp:coreProperties>
</file>