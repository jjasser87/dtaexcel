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ructions" sheetId="1" r:id="rId1"/>
    <sheet name="Production_Mix" sheetId="2" r:id="rId2"/>
    <sheet name="Diet_Problem" sheetId="3" r:id="rId3"/>
  </sheets>
  <calcPr calcId="124519" fullCalcOnLoad="1"/>
</workbook>
</file>

<file path=xl/sharedStrings.xml><?xml version="1.0" encoding="utf-8"?>
<sst xmlns="http://schemas.openxmlformats.org/spreadsheetml/2006/main" count="139" uniqueCount="119">
  <si>
    <t>SOLVER — INSTRUCTIONS</t>
  </si>
  <si>
    <t>What is Solver?</t>
  </si>
  <si>
    <t>Solver is an Excel add-in that finds the OPTIMAL value for one cell (the objective) by changing other cells (the decision variables), subject to constraints you define. Use Solver for resource allocation, scheduling, diet/nutrition, logistics, and more.</t>
  </si>
  <si>
    <t>Color Guide</t>
  </si>
  <si>
    <t xml:space="preserve">  Orange cells</t>
  </si>
  <si>
    <t>Input / Decision Variables (you change these)</t>
  </si>
  <si>
    <t xml:space="preserve">  Green cells</t>
  </si>
  <si>
    <t>Outputs / Objective Function result</t>
  </si>
  <si>
    <t xml:space="preserve">  Blue cells</t>
  </si>
  <si>
    <t>Calculated values (constraints)</t>
  </si>
  <si>
    <t>How to Enable Solver</t>
  </si>
  <si>
    <t>1.  File  →  Options  →  Add-ins</t>
  </si>
  <si>
    <t>2.  At the bottom, set "Manage: Excel Add-ins" → Go</t>
  </si>
  <si>
    <t>3.  Check "Solver Add-in" → OK</t>
  </si>
  <si>
    <t>4.  You should now see Solver on the Data tab</t>
  </si>
  <si>
    <t>General Solver Workflow</t>
  </si>
  <si>
    <t>1.  Open the worksheet with your model</t>
  </si>
  <si>
    <t>2.  Data tab  →  Solver</t>
  </si>
  <si>
    <t>3.  Set Objective: choose your objective cell</t>
  </si>
  <si>
    <t>4.  Choose: Max / Min / Value Of</t>
  </si>
  <si>
    <t>5.  By Changing Variable Cells: select orange cells</t>
  </si>
  <si>
    <t>6.  Add constraints using the Add button</t>
  </si>
  <si>
    <t>7.  Choose solving method (Simplex LP for linear models)</t>
  </si>
  <si>
    <t>8.  Click Solve → Keep Solver Solution</t>
  </si>
  <si>
    <t>Worksheets in This Workbook</t>
  </si>
  <si>
    <t>Production_Mix</t>
  </si>
  <si>
    <t>Maximize profit — 2 products, 3 resource constraints</t>
  </si>
  <si>
    <t>Diet_Problem</t>
  </si>
  <si>
    <t>Minimize cost — meal plan meeting nutrition requirements</t>
  </si>
  <si>
    <t>PRODUCTION MIX — Maximize Profit</t>
  </si>
  <si>
    <t>Scenario: A factory makes Desk Lamps and Floor Lamps. Each product uses Assembly Labor, Finishing Labor, and Materials. Use Solver to find the production mix that MAXIMIZES total profit.</t>
  </si>
  <si>
    <t>Step 1 — Enter Decision Variables (orange cells)</t>
  </si>
  <si>
    <t>Desk Lamp</t>
  </si>
  <si>
    <t>Floor Lamp</t>
  </si>
  <si>
    <t>Available</t>
  </si>
  <si>
    <t>Constraint</t>
  </si>
  <si>
    <t>Profit per Unit ($)</t>
  </si>
  <si>
    <t>Assembly Labor (hours)</t>
  </si>
  <si>
    <t>&lt;= Available</t>
  </si>
  <si>
    <t>Finishing Labor (hours)</t>
  </si>
  <si>
    <t>Materials (units)</t>
  </si>
  <si>
    <t>Min. Demand — Desk Lamp</t>
  </si>
  <si>
    <t>&gt;= Min</t>
  </si>
  <si>
    <t>Min. Demand — Floor Lamp</t>
  </si>
  <si>
    <t>Must be Integer</t>
  </si>
  <si>
    <t>integer</t>
  </si>
  <si>
    <t>Step 2 — Decision Variables (set starting values)</t>
  </si>
  <si>
    <t>Desk Lamps to Produce:</t>
  </si>
  <si>
    <t>Floor Lamps to Produce:</t>
  </si>
  <si>
    <t>Step 3 — Objective Function (Maximize This)</t>
  </si>
  <si>
    <t>Total Profit:</t>
  </si>
  <si>
    <t>Step 4 — Constraints (Resource Usage)</t>
  </si>
  <si>
    <t>Resource</t>
  </si>
  <si>
    <t>Used</t>
  </si>
  <si>
    <t>Remaining</t>
  </si>
  <si>
    <t>Status</t>
  </si>
  <si>
    <t>Assembly Labor</t>
  </si>
  <si>
    <t>Run Solver</t>
  </si>
  <si>
    <t>Finishing Labor</t>
  </si>
  <si>
    <t>Materials</t>
  </si>
  <si>
    <t>Step 5 — Solver Setup Instructions</t>
  </si>
  <si>
    <t>1.  Data tab  →  Solver</t>
  </si>
  <si>
    <t>2.  Set Objective: C21   |   To: Max</t>
  </si>
  <si>
    <t>3.  By Changing: D17:D18</t>
  </si>
  <si>
    <t>4.  Add Constraints:</t>
  </si>
  <si>
    <t xml:space="preserve">      C24 &lt;= D24   (Assembly)</t>
  </si>
  <si>
    <t xml:space="preserve">      C25 &lt;= D25   (Finishing)</t>
  </si>
  <si>
    <t xml:space="preserve">      C26 &lt;= D26   (Materials)</t>
  </si>
  <si>
    <t xml:space="preserve">      D17 &gt;= 10    (Min Desk Demand)</t>
  </si>
  <si>
    <t xml:space="preserve">      D18 &gt;= 5     (Min Floor Demand)</t>
  </si>
  <si>
    <t xml:space="preserve">      D17 = integer</t>
  </si>
  <si>
    <t xml:space="preserve">      D18 = integer</t>
  </si>
  <si>
    <t>5.  Method: Simplex LP  →  Solve</t>
  </si>
  <si>
    <t>6.  Record results below</t>
  </si>
  <si>
    <t>Step 6 — Record Your Results</t>
  </si>
  <si>
    <t>Optimal Desk Lamps:</t>
  </si>
  <si>
    <t>___</t>
  </si>
  <si>
    <t>Optimal Floor Lamps:</t>
  </si>
  <si>
    <t>Maximum Profit:</t>
  </si>
  <si>
    <t>$___</t>
  </si>
  <si>
    <t>DIET PROBLEM — Minimize Cost</t>
  </si>
  <si>
    <t>Scenario: Plan a daily menu using 4 food items to MINIMIZE total cost while meeting minimum daily nutrition requirements (Calories, Protein, Fat). Each food item has a cost per serving and known nutrition values.</t>
  </si>
  <si>
    <t>Food Item Data (per serving)</t>
  </si>
  <si>
    <t>Food Item</t>
  </si>
  <si>
    <t>Cost ($)</t>
  </si>
  <si>
    <t>Calories</t>
  </si>
  <si>
    <t>Protein (g)</t>
  </si>
  <si>
    <t>Fat (g)</t>
  </si>
  <si>
    <t>Chicken Breast</t>
  </si>
  <si>
    <t>Brown Rice</t>
  </si>
  <si>
    <t>Broccoli</t>
  </si>
  <si>
    <t>Whole Milk</t>
  </si>
  <si>
    <t>Step 1 — Decision Variables: Servings of Each Food</t>
  </si>
  <si>
    <t>Servings — Chicken:</t>
  </si>
  <si>
    <t>Servings — Rice:</t>
  </si>
  <si>
    <t>Servings — Broccoli:</t>
  </si>
  <si>
    <t>Servings — Milk:</t>
  </si>
  <si>
    <t>Step 2 — Objective: Total Daily Cost (Minimize)</t>
  </si>
  <si>
    <t>Total Cost:</t>
  </si>
  <si>
    <t>Step 3 — Nutrition Constraints</t>
  </si>
  <si>
    <t>Nutrient</t>
  </si>
  <si>
    <t>Consumed</t>
  </si>
  <si>
    <t>Minimum</t>
  </si>
  <si>
    <t>Met?</t>
  </si>
  <si>
    <t>Step 4 — Solver Setup</t>
  </si>
  <si>
    <t>2.  Set Objective: C20   |   To: Min</t>
  </si>
  <si>
    <t>3.  By Changing: C14:C17</t>
  </si>
  <si>
    <t xml:space="preserve">      C24 &gt;= D24   (Calories &gt;= 2000)</t>
  </si>
  <si>
    <t xml:space="preserve">      C25 &gt;= D25   (Protein &gt;= 50g)</t>
  </si>
  <si>
    <t xml:space="preserve">      C26 &gt;= D26   (Fat &gt;= 44g)</t>
  </si>
  <si>
    <t xml:space="preserve">      C14:C17 &gt;= 0   (Non-negative servings)</t>
  </si>
  <si>
    <t>5.  Method: GRG Nonlinear  →  Solve</t>
  </si>
  <si>
    <t>6.  Record optimal servings and total cost below</t>
  </si>
  <si>
    <t>Step 5 — Record Your Results</t>
  </si>
  <si>
    <t>Chicken Servings</t>
  </si>
  <si>
    <t>Rice Servings</t>
  </si>
  <si>
    <t>Broccoli Servings</t>
  </si>
  <si>
    <t>Milk Servings</t>
  </si>
  <si>
    <t>Minimum Daily Cost</t>
  </si>
</sst>
</file>

<file path=xl/styles.xml><?xml version="1.0" encoding="utf-8"?>
<styleSheet xmlns="http://schemas.openxmlformats.org/spreadsheetml/2006/main">
  <numFmts count="3">
    <numFmt numFmtId="164" formatCode="0.0"/>
    <numFmt numFmtId="165" formatCode="$#,##0.00"/>
    <numFmt numFmtId="166" formatCode="$0.00"/>
  </numFmts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4B5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4B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1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4" fillId="6" borderId="1" xfId="0" applyNumberFormat="1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166" fontId="5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0"/>
  <sheetViews>
    <sheetView showGridLines="0" tabSelected="1" workbookViewId="0"/>
  </sheetViews>
  <sheetFormatPr defaultRowHeight="15"/>
  <cols>
    <col min="1" max="1" width="2.7109375" customWidth="1"/>
    <col min="2" max="2" width="60.7109375" customWidth="1"/>
    <col min="3" max="3" width="20.7109375" customWidth="1"/>
  </cols>
  <sheetData>
    <row r="1" spans="2:3" ht="6" customHeight="1"/>
    <row r="2" spans="2:3" ht="40" customHeight="1">
      <c r="B2" s="1" t="s">
        <v>0</v>
      </c>
      <c r="C2" s="1"/>
    </row>
    <row r="3" spans="2:3" ht="20" customHeight="1"/>
    <row r="4" spans="2:3" ht="40" customHeight="1">
      <c r="B4" s="2" t="s">
        <v>1</v>
      </c>
      <c r="C4" s="2"/>
    </row>
    <row r="5" spans="2:3" ht="90" customHeight="1">
      <c r="B5" s="3" t="s">
        <v>2</v>
      </c>
      <c r="C5" s="3"/>
    </row>
    <row r="6" spans="2:3" ht="20" customHeight="1"/>
    <row r="7" spans="2:3" ht="30" customHeight="1">
      <c r="B7" s="2" t="s">
        <v>3</v>
      </c>
      <c r="C7" s="2"/>
    </row>
    <row r="8" spans="2:3" ht="25" customHeight="1">
      <c r="B8" s="4" t="s">
        <v>4</v>
      </c>
      <c r="C8" s="5" t="s">
        <v>5</v>
      </c>
    </row>
    <row r="9" spans="2:3" ht="25" customHeight="1">
      <c r="B9" s="6" t="s">
        <v>6</v>
      </c>
      <c r="C9" s="5" t="s">
        <v>7</v>
      </c>
    </row>
    <row r="10" spans="2:3" ht="25" customHeight="1">
      <c r="B10" s="7" t="s">
        <v>8</v>
      </c>
      <c r="C10" s="5" t="s">
        <v>9</v>
      </c>
    </row>
    <row r="11" spans="2:3" ht="20" customHeight="1"/>
    <row r="12" spans="2:3" ht="30" customHeight="1">
      <c r="B12" s="2" t="s">
        <v>10</v>
      </c>
      <c r="C12" s="2"/>
    </row>
    <row r="13" spans="2:3" ht="20" customHeight="1">
      <c r="B13" s="8" t="s">
        <v>11</v>
      </c>
      <c r="C13" s="8"/>
    </row>
    <row r="14" spans="2:3" ht="20" customHeight="1">
      <c r="B14" s="8" t="s">
        <v>12</v>
      </c>
      <c r="C14" s="8"/>
    </row>
    <row r="15" spans="2:3" ht="20" customHeight="1">
      <c r="B15" s="8" t="s">
        <v>13</v>
      </c>
      <c r="C15" s="8"/>
    </row>
    <row r="16" spans="2:3" ht="20" customHeight="1">
      <c r="B16" s="8" t="s">
        <v>14</v>
      </c>
      <c r="C16" s="8"/>
    </row>
    <row r="17" spans="2:3" ht="20" customHeight="1"/>
    <row r="18" spans="2:3" ht="30" customHeight="1">
      <c r="B18" s="2" t="s">
        <v>15</v>
      </c>
      <c r="C18" s="2"/>
    </row>
    <row r="19" spans="2:3" ht="20" customHeight="1">
      <c r="B19" s="8" t="s">
        <v>16</v>
      </c>
      <c r="C19" s="8"/>
    </row>
    <row r="20" spans="2:3" ht="20" customHeight="1">
      <c r="B20" s="8" t="s">
        <v>17</v>
      </c>
      <c r="C20" s="8"/>
    </row>
    <row r="21" spans="2:3" ht="20" customHeight="1">
      <c r="B21" s="8" t="s">
        <v>18</v>
      </c>
      <c r="C21" s="8"/>
    </row>
    <row r="22" spans="2:3" ht="20" customHeight="1">
      <c r="B22" s="8" t="s">
        <v>19</v>
      </c>
      <c r="C22" s="8"/>
    </row>
    <row r="23" spans="2:3" ht="20" customHeight="1">
      <c r="B23" s="8" t="s">
        <v>20</v>
      </c>
      <c r="C23" s="8"/>
    </row>
    <row r="24" spans="2:3" ht="20" customHeight="1">
      <c r="B24" s="8" t="s">
        <v>21</v>
      </c>
      <c r="C24" s="8"/>
    </row>
    <row r="25" spans="2:3" ht="20" customHeight="1">
      <c r="B25" s="8" t="s">
        <v>22</v>
      </c>
      <c r="C25" s="8"/>
    </row>
    <row r="26" spans="2:3" ht="20" customHeight="1">
      <c r="B26" s="8" t="s">
        <v>23</v>
      </c>
      <c r="C26" s="8"/>
    </row>
    <row r="27" spans="2:3" ht="20" customHeight="1"/>
    <row r="28" spans="2:3" ht="30" customHeight="1">
      <c r="B28" s="2" t="s">
        <v>24</v>
      </c>
      <c r="C28" s="2"/>
    </row>
    <row r="29" spans="2:3" ht="20" customHeight="1">
      <c r="B29" s="9" t="s">
        <v>25</v>
      </c>
      <c r="C29" s="5" t="s">
        <v>26</v>
      </c>
    </row>
    <row r="30" spans="2:3" ht="20" customHeight="1">
      <c r="B30" s="9" t="s">
        <v>27</v>
      </c>
      <c r="C30" s="5" t="s">
        <v>28</v>
      </c>
    </row>
  </sheetData>
  <mergeCells count="19">
    <mergeCell ref="B2:C2"/>
    <mergeCell ref="B4:C4"/>
    <mergeCell ref="B5:C5"/>
    <mergeCell ref="B7:C7"/>
    <mergeCell ref="B12:C12"/>
    <mergeCell ref="B13:C13"/>
    <mergeCell ref="B14:C14"/>
    <mergeCell ref="B15:C15"/>
    <mergeCell ref="B16:C16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8:C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showGridLines="0" workbookViewId="0"/>
  </sheetViews>
  <sheetFormatPr defaultRowHeight="15"/>
  <cols>
    <col min="1" max="1" width="2.7109375" customWidth="1"/>
    <col min="2" max="2" width="32.7109375" customWidth="1"/>
    <col min="3" max="6" width="14.7109375" customWidth="1"/>
  </cols>
  <sheetData>
    <row r="1" spans="2:6" ht="6" customHeight="1"/>
    <row r="2" spans="2:6" ht="40" customHeight="1">
      <c r="B2" s="1" t="s">
        <v>29</v>
      </c>
      <c r="C2" s="1"/>
      <c r="D2" s="1"/>
      <c r="E2" s="1"/>
      <c r="F2" s="1"/>
    </row>
    <row r="3" spans="2:6"/>
    <row r="4" spans="2:6" ht="60" customHeight="1">
      <c r="B4" s="3" t="s">
        <v>30</v>
      </c>
      <c r="C4" s="3"/>
      <c r="D4" s="3"/>
      <c r="E4" s="3"/>
      <c r="F4" s="3"/>
    </row>
    <row r="5" spans="2:6"/>
    <row r="6" spans="2:6" ht="30" customHeight="1">
      <c r="B6" s="2" t="s">
        <v>31</v>
      </c>
      <c r="C6" s="2"/>
      <c r="D6" s="2"/>
      <c r="E6" s="2"/>
      <c r="F6" s="2"/>
    </row>
    <row r="7" spans="2:6" ht="20" customHeight="1">
      <c r="C7" s="10" t="s">
        <v>32</v>
      </c>
      <c r="D7" s="10" t="s">
        <v>33</v>
      </c>
      <c r="E7" s="10" t="s">
        <v>34</v>
      </c>
      <c r="F7" s="10" t="s">
        <v>35</v>
      </c>
    </row>
    <row r="8" spans="2:6" ht="20" customHeight="1">
      <c r="B8" s="11" t="s">
        <v>36</v>
      </c>
      <c r="C8" s="12">
        <v>45</v>
      </c>
      <c r="D8" s="12">
        <v>65</v>
      </c>
    </row>
    <row r="9" spans="2:6" ht="20" customHeight="1">
      <c r="B9" s="11" t="s">
        <v>37</v>
      </c>
      <c r="C9" s="13">
        <v>2.5</v>
      </c>
      <c r="D9" s="13">
        <v>4</v>
      </c>
      <c r="E9" s="14">
        <v>200</v>
      </c>
      <c r="F9" s="14" t="s">
        <v>38</v>
      </c>
    </row>
    <row r="10" spans="2:6" ht="20" customHeight="1">
      <c r="B10" s="11" t="s">
        <v>39</v>
      </c>
      <c r="C10" s="13">
        <v>1</v>
      </c>
      <c r="D10" s="13">
        <v>1.5</v>
      </c>
      <c r="E10" s="14">
        <v>90</v>
      </c>
      <c r="F10" s="14" t="s">
        <v>38</v>
      </c>
    </row>
    <row r="11" spans="2:6" ht="20" customHeight="1">
      <c r="B11" s="11" t="s">
        <v>40</v>
      </c>
      <c r="C11" s="12">
        <v>3</v>
      </c>
      <c r="D11" s="12">
        <v>5</v>
      </c>
      <c r="E11" s="14">
        <v>300</v>
      </c>
      <c r="F11" s="14" t="s">
        <v>38</v>
      </c>
    </row>
    <row r="12" spans="2:6" ht="20" customHeight="1">
      <c r="B12" s="11" t="s">
        <v>41</v>
      </c>
      <c r="E12" s="14">
        <v>10</v>
      </c>
      <c r="F12" s="14" t="s">
        <v>42</v>
      </c>
    </row>
    <row r="13" spans="2:6" ht="20" customHeight="1">
      <c r="B13" s="11" t="s">
        <v>43</v>
      </c>
      <c r="E13" s="14">
        <v>5</v>
      </c>
      <c r="F13" s="14" t="s">
        <v>42</v>
      </c>
    </row>
    <row r="14" spans="2:6" ht="20" customHeight="1">
      <c r="B14" s="11" t="s">
        <v>44</v>
      </c>
      <c r="F14" s="14" t="s">
        <v>45</v>
      </c>
    </row>
    <row r="15" spans="2:6" ht="20" customHeight="1"/>
    <row r="16" spans="2:6" ht="30" customHeight="1">
      <c r="B16" s="2" t="s">
        <v>46</v>
      </c>
      <c r="C16" s="2"/>
      <c r="D16" s="2"/>
      <c r="E16" s="2"/>
      <c r="F16" s="2"/>
    </row>
    <row r="17" spans="2:6" ht="20" customHeight="1">
      <c r="C17" s="11" t="s">
        <v>47</v>
      </c>
      <c r="D17" s="12">
        <v>0</v>
      </c>
    </row>
    <row r="18" spans="2:6" ht="20" customHeight="1">
      <c r="C18" s="11" t="s">
        <v>48</v>
      </c>
      <c r="D18" s="12">
        <v>0</v>
      </c>
    </row>
    <row r="19" spans="2:6" ht="20" customHeight="1"/>
    <row r="20" spans="2:6" ht="30" customHeight="1">
      <c r="B20" s="2" t="s">
        <v>49</v>
      </c>
      <c r="C20" s="2"/>
      <c r="D20" s="2"/>
      <c r="E20" s="2"/>
      <c r="F20" s="2"/>
    </row>
    <row r="21" spans="2:6" ht="25" customHeight="1">
      <c r="B21" s="11" t="s">
        <v>50</v>
      </c>
      <c r="C21" s="15">
        <f>(D17*45)+(D18*65)</f>
        <v>0</v>
      </c>
    </row>
    <row r="22" spans="2:6" ht="20" customHeight="1"/>
    <row r="23" spans="2:6" ht="20" customHeight="1">
      <c r="B23" s="9" t="s">
        <v>52</v>
      </c>
      <c r="C23" s="10" t="s">
        <v>53</v>
      </c>
      <c r="D23" s="10" t="s">
        <v>34</v>
      </c>
      <c r="E23" s="10" t="s">
        <v>54</v>
      </c>
      <c r="F23" s="10" t="s">
        <v>55</v>
      </c>
    </row>
    <row r="24" spans="2:6" ht="20" customHeight="1">
      <c r="B24" s="5" t="s">
        <v>56</v>
      </c>
      <c r="C24" s="16">
        <f>D17*2.5+D18*4.0</f>
        <v>0</v>
      </c>
      <c r="D24" s="14">
        <v>200</v>
      </c>
      <c r="E24" s="16">
        <f>D24-C24</f>
        <v>0</v>
      </c>
      <c r="F24" s="14" t="s">
        <v>57</v>
      </c>
    </row>
    <row r="25" spans="2:6" ht="20" customHeight="1">
      <c r="B25" s="5" t="s">
        <v>58</v>
      </c>
      <c r="C25" s="16">
        <f>D17*1.0+D18*1.5</f>
        <v>0</v>
      </c>
      <c r="D25" s="14">
        <v>90</v>
      </c>
      <c r="E25" s="16">
        <f>D25-C25</f>
        <v>0</v>
      </c>
      <c r="F25" s="14" t="s">
        <v>57</v>
      </c>
    </row>
    <row r="26" spans="2:6" ht="20" customHeight="1">
      <c r="B26" s="5" t="s">
        <v>59</v>
      </c>
      <c r="C26" s="16">
        <f>D17*3+D18*5</f>
        <v>0</v>
      </c>
      <c r="D26" s="14">
        <v>300</v>
      </c>
      <c r="E26" s="16">
        <f>D26-C26</f>
        <v>0</v>
      </c>
      <c r="F26" s="14" t="s">
        <v>57</v>
      </c>
    </row>
    <row r="27" spans="2:6" ht="20" customHeight="1"/>
    <row r="28" spans="2:6" ht="30" customHeight="1">
      <c r="B28" s="2" t="s">
        <v>60</v>
      </c>
      <c r="C28" s="2"/>
      <c r="D28" s="2"/>
      <c r="E28" s="2"/>
      <c r="F28" s="2"/>
    </row>
    <row r="29" spans="2:6" ht="20" customHeight="1">
      <c r="B29" s="8" t="s">
        <v>61</v>
      </c>
      <c r="C29" s="8"/>
      <c r="D29" s="8"/>
      <c r="E29" s="8"/>
      <c r="F29" s="8"/>
    </row>
    <row r="30" spans="2:6" ht="20" customHeight="1">
      <c r="B30" s="8" t="s">
        <v>62</v>
      </c>
      <c r="C30" s="8"/>
      <c r="D30" s="8"/>
      <c r="E30" s="8"/>
      <c r="F30" s="8"/>
    </row>
    <row r="31" spans="2:6" ht="20" customHeight="1">
      <c r="B31" s="8" t="s">
        <v>63</v>
      </c>
      <c r="C31" s="8"/>
      <c r="D31" s="8"/>
      <c r="E31" s="8"/>
      <c r="F31" s="8"/>
    </row>
    <row r="32" spans="2:6" ht="20" customHeight="1">
      <c r="B32" s="8" t="s">
        <v>64</v>
      </c>
      <c r="C32" s="8"/>
      <c r="D32" s="8"/>
      <c r="E32" s="8"/>
      <c r="F32" s="8"/>
    </row>
    <row r="33" spans="2:6" ht="20" customHeight="1">
      <c r="B33" s="8" t="s">
        <v>65</v>
      </c>
      <c r="C33" s="8"/>
      <c r="D33" s="8"/>
      <c r="E33" s="8"/>
      <c r="F33" s="8"/>
    </row>
    <row r="34" spans="2:6" ht="20" customHeight="1">
      <c r="B34" s="8" t="s">
        <v>66</v>
      </c>
      <c r="C34" s="8"/>
      <c r="D34" s="8"/>
      <c r="E34" s="8"/>
      <c r="F34" s="8"/>
    </row>
    <row r="35" spans="2:6" ht="20" customHeight="1">
      <c r="B35" s="8" t="s">
        <v>67</v>
      </c>
      <c r="C35" s="8"/>
      <c r="D35" s="8"/>
      <c r="E35" s="8"/>
      <c r="F35" s="8"/>
    </row>
    <row r="36" spans="2:6" ht="20" customHeight="1">
      <c r="B36" s="8" t="s">
        <v>68</v>
      </c>
      <c r="C36" s="8"/>
      <c r="D36" s="8"/>
      <c r="E36" s="8"/>
      <c r="F36" s="8"/>
    </row>
    <row r="37" spans="2:6" ht="20" customHeight="1">
      <c r="B37" s="8" t="s">
        <v>69</v>
      </c>
      <c r="C37" s="8"/>
      <c r="D37" s="8"/>
      <c r="E37" s="8"/>
      <c r="F37" s="8"/>
    </row>
    <row r="38" spans="2:6" ht="20" customHeight="1">
      <c r="B38" s="8" t="s">
        <v>70</v>
      </c>
      <c r="C38" s="8"/>
      <c r="D38" s="8"/>
      <c r="E38" s="8"/>
      <c r="F38" s="8"/>
    </row>
    <row r="39" spans="2:6" ht="20" customHeight="1">
      <c r="B39" s="8" t="s">
        <v>71</v>
      </c>
      <c r="C39" s="8"/>
      <c r="D39" s="8"/>
      <c r="E39" s="8"/>
      <c r="F39" s="8"/>
    </row>
    <row r="40" spans="2:6" ht="20" customHeight="1">
      <c r="B40" s="8" t="s">
        <v>72</v>
      </c>
      <c r="C40" s="8"/>
      <c r="D40" s="8"/>
      <c r="E40" s="8"/>
      <c r="F40" s="8"/>
    </row>
    <row r="41" spans="2:6" ht="20" customHeight="1">
      <c r="B41" s="8" t="s">
        <v>73</v>
      </c>
      <c r="C41" s="8"/>
      <c r="D41" s="8"/>
      <c r="E41" s="8"/>
      <c r="F41" s="8"/>
    </row>
    <row r="42" spans="2:6" ht="20" customHeight="1"/>
    <row r="43" spans="2:6" ht="30" customHeight="1">
      <c r="B43" s="2" t="s">
        <v>74</v>
      </c>
      <c r="C43" s="2"/>
      <c r="D43" s="2"/>
      <c r="E43" s="2"/>
      <c r="F43" s="2"/>
    </row>
    <row r="44" spans="2:6" ht="20" customHeight="1">
      <c r="B44" s="11" t="s">
        <v>75</v>
      </c>
      <c r="C44" s="14" t="s">
        <v>76</v>
      </c>
    </row>
    <row r="45" spans="2:6" ht="20" customHeight="1">
      <c r="B45" s="11" t="s">
        <v>77</v>
      </c>
      <c r="C45" s="14" t="s">
        <v>76</v>
      </c>
    </row>
    <row r="46" spans="2:6" ht="20" customHeight="1">
      <c r="B46" s="11" t="s">
        <v>78</v>
      </c>
      <c r="C46" s="14" t="s">
        <v>79</v>
      </c>
    </row>
  </sheetData>
  <mergeCells count="21">
    <mergeCell ref="B2:F2"/>
    <mergeCell ref="B4:F4"/>
    <mergeCell ref="B6:F6"/>
    <mergeCell ref="B16:F16"/>
    <mergeCell ref="B20:F20"/>
    <mergeCell ref="B23:F23"/>
    <mergeCell ref="B28:F28"/>
    <mergeCell ref="B29:F29"/>
    <mergeCell ref="B30:F30"/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3:F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45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8" width="12.7109375" customWidth="1"/>
  </cols>
  <sheetData>
    <row r="1" spans="2:8" ht="6" customHeight="1"/>
    <row r="2" spans="2:8" ht="40" customHeight="1">
      <c r="B2" s="1" t="s">
        <v>80</v>
      </c>
      <c r="C2" s="1"/>
      <c r="D2" s="1"/>
      <c r="E2" s="1"/>
      <c r="F2" s="1"/>
      <c r="G2" s="1"/>
      <c r="H2" s="1"/>
    </row>
    <row r="3" spans="2:8"/>
    <row r="4" spans="2:8" ht="60" customHeight="1">
      <c r="B4" s="3" t="s">
        <v>81</v>
      </c>
      <c r="C4" s="3"/>
      <c r="D4" s="3"/>
      <c r="E4" s="3"/>
      <c r="F4" s="3"/>
      <c r="G4" s="3"/>
      <c r="H4" s="3"/>
    </row>
    <row r="5" spans="2:8"/>
    <row r="6" spans="2:8" ht="30" customHeight="1">
      <c r="B6" s="2" t="s">
        <v>82</v>
      </c>
      <c r="C6" s="2"/>
      <c r="D6" s="2"/>
      <c r="E6" s="2"/>
      <c r="F6" s="2"/>
      <c r="G6" s="2"/>
      <c r="H6" s="2"/>
    </row>
    <row r="7" spans="2:8" ht="20" customHeight="1">
      <c r="B7" s="10" t="s">
        <v>83</v>
      </c>
      <c r="C7" s="10" t="s">
        <v>84</v>
      </c>
      <c r="D7" s="10" t="s">
        <v>85</v>
      </c>
      <c r="E7" s="10" t="s">
        <v>86</v>
      </c>
      <c r="F7" s="10" t="s">
        <v>87</v>
      </c>
    </row>
    <row r="8" spans="2:8" ht="20" customHeight="1">
      <c r="B8" s="5" t="s">
        <v>88</v>
      </c>
      <c r="C8" s="17">
        <v>3.5</v>
      </c>
      <c r="D8" s="12">
        <v>165</v>
      </c>
      <c r="E8" s="13">
        <v>31</v>
      </c>
      <c r="F8" s="13">
        <v>3.6</v>
      </c>
    </row>
    <row r="9" spans="2:8" ht="20" customHeight="1">
      <c r="B9" s="5" t="s">
        <v>89</v>
      </c>
      <c r="C9" s="17">
        <v>0.8</v>
      </c>
      <c r="D9" s="12">
        <v>215</v>
      </c>
      <c r="E9" s="13">
        <v>5</v>
      </c>
      <c r="F9" s="13">
        <v>1.8</v>
      </c>
    </row>
    <row r="10" spans="2:8" ht="20" customHeight="1">
      <c r="B10" s="5" t="s">
        <v>90</v>
      </c>
      <c r="C10" s="17">
        <v>0.6</v>
      </c>
      <c r="D10" s="12">
        <v>55</v>
      </c>
      <c r="E10" s="13">
        <v>3.7</v>
      </c>
      <c r="F10" s="13">
        <v>0.6</v>
      </c>
    </row>
    <row r="11" spans="2:8" ht="20" customHeight="1">
      <c r="B11" s="5" t="s">
        <v>91</v>
      </c>
      <c r="C11" s="17">
        <v>0.9</v>
      </c>
      <c r="D11" s="12">
        <v>149</v>
      </c>
      <c r="E11" s="13">
        <v>8</v>
      </c>
      <c r="F11" s="13">
        <v>8</v>
      </c>
    </row>
    <row r="12" spans="2:8"/>
    <row r="13" spans="2:8" ht="30" customHeight="1">
      <c r="B13" s="2" t="s">
        <v>92</v>
      </c>
      <c r="C13" s="2"/>
      <c r="D13" s="2"/>
      <c r="E13" s="2"/>
      <c r="F13" s="2"/>
      <c r="G13" s="2"/>
      <c r="H13" s="2"/>
    </row>
    <row r="14" spans="2:8" ht="20" customHeight="1">
      <c r="B14" s="11" t="s">
        <v>93</v>
      </c>
      <c r="C14" s="13">
        <v>0</v>
      </c>
    </row>
    <row r="15" spans="2:8" ht="20" customHeight="1">
      <c r="B15" s="11" t="s">
        <v>94</v>
      </c>
      <c r="C15" s="13">
        <v>0</v>
      </c>
    </row>
    <row r="16" spans="2:8" ht="20" customHeight="1">
      <c r="B16" s="11" t="s">
        <v>95</v>
      </c>
      <c r="C16" s="13">
        <v>0</v>
      </c>
    </row>
    <row r="17" spans="2:8" ht="20" customHeight="1">
      <c r="B17" s="11" t="s">
        <v>96</v>
      </c>
      <c r="C17" s="13">
        <v>0</v>
      </c>
    </row>
    <row r="18" spans="2:8"/>
    <row r="19" spans="2:8" ht="30" customHeight="1">
      <c r="B19" s="2" t="s">
        <v>97</v>
      </c>
      <c r="C19" s="2"/>
      <c r="D19" s="2"/>
      <c r="E19" s="2"/>
      <c r="F19" s="2"/>
      <c r="G19" s="2"/>
      <c r="H19" s="2"/>
    </row>
    <row r="20" spans="2:8" ht="25" customHeight="1">
      <c r="B20" s="11" t="s">
        <v>98</v>
      </c>
      <c r="C20" s="15">
        <f>C14*3.5+C15*0.8+C16*0.6+C17*0.9</f>
        <v>0</v>
      </c>
    </row>
    <row r="21" spans="2:8"/>
    <row r="22" spans="2:8" ht="30" customHeight="1">
      <c r="B22" s="2" t="s">
        <v>99</v>
      </c>
      <c r="C22" s="2"/>
      <c r="D22" s="2"/>
      <c r="E22" s="2"/>
      <c r="F22" s="2"/>
      <c r="G22" s="2"/>
      <c r="H22" s="2"/>
    </row>
    <row r="23" spans="2:8" ht="20" customHeight="1">
      <c r="B23" s="9" t="s">
        <v>100</v>
      </c>
      <c r="C23" s="10" t="s">
        <v>101</v>
      </c>
      <c r="D23" s="10" t="s">
        <v>102</v>
      </c>
      <c r="E23" s="10" t="s">
        <v>103</v>
      </c>
    </row>
    <row r="24" spans="2:8" ht="20" customHeight="1">
      <c r="B24" s="5" t="s">
        <v>85</v>
      </c>
      <c r="C24" s="16">
        <f>C14*165+C15*215+C16*55+C17*149</f>
        <v>0</v>
      </c>
      <c r="D24" s="14">
        <v>2000</v>
      </c>
      <c r="E24" s="14" t="s">
        <v>57</v>
      </c>
    </row>
    <row r="25" spans="2:8" ht="20" customHeight="1">
      <c r="B25" s="5" t="s">
        <v>86</v>
      </c>
      <c r="C25" s="16">
        <f>C14*31+C15*5+C16*3.7+C17*8</f>
        <v>0</v>
      </c>
      <c r="D25" s="14">
        <v>50</v>
      </c>
      <c r="E25" s="14" t="s">
        <v>57</v>
      </c>
    </row>
    <row r="26" spans="2:8" ht="20" customHeight="1">
      <c r="B26" s="5" t="s">
        <v>87</v>
      </c>
      <c r="C26" s="16">
        <f>C14*3.6+C15*1.8+C16*0.6+C17*8</f>
        <v>0</v>
      </c>
      <c r="D26" s="14">
        <v>44</v>
      </c>
      <c r="E26" s="14" t="s">
        <v>57</v>
      </c>
    </row>
    <row r="27" spans="2:8"/>
    <row r="28" spans="2:8" ht="30" customHeight="1">
      <c r="B28" s="2" t="s">
        <v>104</v>
      </c>
      <c r="C28" s="2"/>
      <c r="D28" s="2"/>
      <c r="E28" s="2"/>
      <c r="F28" s="2"/>
      <c r="G28" s="2"/>
      <c r="H28" s="2"/>
    </row>
    <row r="29" spans="2:8" ht="20" customHeight="1">
      <c r="B29" s="8" t="s">
        <v>61</v>
      </c>
      <c r="C29" s="8"/>
      <c r="D29" s="8"/>
      <c r="E29" s="8"/>
      <c r="F29" s="8"/>
      <c r="G29" s="8"/>
      <c r="H29" s="8"/>
    </row>
    <row r="30" spans="2:8" ht="20" customHeight="1">
      <c r="B30" s="8" t="s">
        <v>105</v>
      </c>
      <c r="C30" s="8"/>
      <c r="D30" s="8"/>
      <c r="E30" s="8"/>
      <c r="F30" s="8"/>
      <c r="G30" s="8"/>
      <c r="H30" s="8"/>
    </row>
    <row r="31" spans="2:8" ht="20" customHeight="1">
      <c r="B31" s="8" t="s">
        <v>106</v>
      </c>
      <c r="C31" s="8"/>
      <c r="D31" s="8"/>
      <c r="E31" s="8"/>
      <c r="F31" s="8"/>
      <c r="G31" s="8"/>
      <c r="H31" s="8"/>
    </row>
    <row r="32" spans="2:8" ht="20" customHeight="1">
      <c r="B32" s="8" t="s">
        <v>64</v>
      </c>
      <c r="C32" s="8"/>
      <c r="D32" s="8"/>
      <c r="E32" s="8"/>
      <c r="F32" s="8"/>
      <c r="G32" s="8"/>
      <c r="H32" s="8"/>
    </row>
    <row r="33" spans="2:8" ht="20" customHeight="1">
      <c r="B33" s="8" t="s">
        <v>107</v>
      </c>
      <c r="C33" s="8"/>
      <c r="D33" s="8"/>
      <c r="E33" s="8"/>
      <c r="F33" s="8"/>
      <c r="G33" s="8"/>
      <c r="H33" s="8"/>
    </row>
    <row r="34" spans="2:8" ht="20" customHeight="1">
      <c r="B34" s="8" t="s">
        <v>108</v>
      </c>
      <c r="C34" s="8"/>
      <c r="D34" s="8"/>
      <c r="E34" s="8"/>
      <c r="F34" s="8"/>
      <c r="G34" s="8"/>
      <c r="H34" s="8"/>
    </row>
    <row r="35" spans="2:8" ht="20" customHeight="1">
      <c r="B35" s="8" t="s">
        <v>109</v>
      </c>
      <c r="C35" s="8"/>
      <c r="D35" s="8"/>
      <c r="E35" s="8"/>
      <c r="F35" s="8"/>
      <c r="G35" s="8"/>
      <c r="H35" s="8"/>
    </row>
    <row r="36" spans="2:8" ht="20" customHeight="1">
      <c r="B36" s="8" t="s">
        <v>110</v>
      </c>
      <c r="C36" s="8"/>
      <c r="D36" s="8"/>
      <c r="E36" s="8"/>
      <c r="F36" s="8"/>
      <c r="G36" s="8"/>
      <c r="H36" s="8"/>
    </row>
    <row r="37" spans="2:8" ht="20" customHeight="1">
      <c r="B37" s="8" t="s">
        <v>111</v>
      </c>
      <c r="C37" s="8"/>
      <c r="D37" s="8"/>
      <c r="E37" s="8"/>
      <c r="F37" s="8"/>
      <c r="G37" s="8"/>
      <c r="H37" s="8"/>
    </row>
    <row r="38" spans="2:8" ht="20" customHeight="1">
      <c r="B38" s="8" t="s">
        <v>112</v>
      </c>
      <c r="C38" s="8"/>
      <c r="D38" s="8"/>
      <c r="E38" s="8"/>
      <c r="F38" s="8"/>
      <c r="G38" s="8"/>
      <c r="H38" s="8"/>
    </row>
    <row r="39" spans="2:8"/>
    <row r="40" spans="2:8" ht="30" customHeight="1">
      <c r="B40" s="2" t="s">
        <v>113</v>
      </c>
      <c r="C40" s="2"/>
      <c r="D40" s="2"/>
      <c r="E40" s="2"/>
      <c r="F40" s="2"/>
      <c r="G40" s="2"/>
      <c r="H40" s="2"/>
    </row>
    <row r="41" spans="2:8" ht="20" customHeight="1">
      <c r="B41" s="11" t="s">
        <v>114</v>
      </c>
      <c r="C41" s="14" t="s">
        <v>76</v>
      </c>
    </row>
    <row r="42" spans="2:8" ht="20" customHeight="1">
      <c r="B42" s="11" t="s">
        <v>115</v>
      </c>
      <c r="C42" s="14" t="s">
        <v>76</v>
      </c>
    </row>
    <row r="43" spans="2:8" ht="20" customHeight="1">
      <c r="B43" s="11" t="s">
        <v>116</v>
      </c>
      <c r="C43" s="14" t="s">
        <v>76</v>
      </c>
    </row>
    <row r="44" spans="2:8" ht="20" customHeight="1">
      <c r="B44" s="11" t="s">
        <v>117</v>
      </c>
      <c r="C44" s="14" t="s">
        <v>76</v>
      </c>
    </row>
    <row r="45" spans="2:8" ht="20" customHeight="1">
      <c r="B45" s="11" t="s">
        <v>118</v>
      </c>
      <c r="C45" s="14" t="s">
        <v>76</v>
      </c>
    </row>
  </sheetData>
  <mergeCells count="18">
    <mergeCell ref="B2:H2"/>
    <mergeCell ref="B4:H4"/>
    <mergeCell ref="B6:H6"/>
    <mergeCell ref="B13:H13"/>
    <mergeCell ref="B19:H19"/>
    <mergeCell ref="B22:H22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40:H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Production_Mix</vt:lpstr>
      <vt:lpstr>Diet_Problem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2026-05-26T14:58:06Z</dcterms:created>
  <dcterms:modified xsi:type="dcterms:W3CDTF">2026-05-26T14:58:06Z</dcterms:modified>
</cp:coreProperties>
</file>