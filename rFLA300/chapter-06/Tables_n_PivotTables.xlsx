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jasser/Downloads/"/>
    </mc:Choice>
  </mc:AlternateContent>
  <xr:revisionPtr revIDLastSave="0" documentId="13_ncr:1_{F39A807C-C70A-1342-A1D1-405917D7AD63}" xr6:coauthVersionLast="47" xr6:coauthVersionMax="47" xr10:uidLastSave="{00000000-0000-0000-0000-000000000000}"/>
  <bookViews>
    <workbookView xWindow="1100" yWindow="900" windowWidth="28040" windowHeight="16940" xr2:uid="{24880389-D05C-CA4A-9B54-9DD16739523D}"/>
  </bookViews>
  <sheets>
    <sheet name="1. Intro to Tables" sheetId="1" r:id="rId1"/>
    <sheet name="2. Table Features" sheetId="2" r:id="rId2"/>
    <sheet name="3. Filters &amp; SUBTOTAL" sheetId="3" r:id="rId3"/>
    <sheet name="4. FILTER Function" sheetId="4" r:id="rId4"/>
    <sheet name="5. PivotTable Basics" sheetId="5" r:id="rId5"/>
    <sheet name="6. PivotTable Summary" sheetId="6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53" i="4" l="1" a="1"/>
  <c r="G41" i="4" a="1"/>
  <c r="G30" i="4" a="1"/>
  <c r="G19" i="4" a="1"/>
  <c r="B67" i="3"/>
  <c r="B66" i="3"/>
  <c r="B64" i="3"/>
  <c r="B63" i="3"/>
  <c r="B62" i="3"/>
  <c r="B45" i="2"/>
  <c r="D45" i="2"/>
  <c r="D44" i="2"/>
  <c r="D43" i="2"/>
  <c r="D42" i="2"/>
  <c r="D41" i="2"/>
  <c r="D40" i="2"/>
  <c r="G53" i="4" l="1"/>
  <c r="G41" i="4"/>
  <c r="G30" i="4"/>
  <c r="G19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<sst xmlns="http://schemas.openxmlformats.org/spreadsheetml/2006/main" count="445" uniqueCount="329">
  <si>
    <t>📊 ORGANIZING DATA WITH TABLES</t>
  </si>
  <si>
    <t>Tables are a powerful way to organize and manage your data in Excel. They provide automatic formatting, easy filtering, and structured references.</t>
  </si>
  <si>
    <t>🔹 What is an Excel Table?</t>
  </si>
  <si>
    <t>An Excel Table is a structured range of data that offers:</t>
  </si>
  <si>
    <t xml:space="preserve">   • Automatic formatting and styling</t>
  </si>
  <si>
    <t xml:space="preserve">   • Built-in filter buttons on headers</t>
  </si>
  <si>
    <t xml:space="preserve">   • Automatic expansion when you add new data</t>
  </si>
  <si>
    <t xml:space="preserve">   • Structured references for easier formulas</t>
  </si>
  <si>
    <t>🔹 How to Create a Table</t>
  </si>
  <si>
    <t>Step 1: Select your data range (including headers)</t>
  </si>
  <si>
    <t>Step 2: Go to Insert tab → Click 'Table'</t>
  </si>
  <si>
    <t>Step 3: Confirm your data range and check 'My table has headers'</t>
  </si>
  <si>
    <t>Step 4: Click OK</t>
  </si>
  <si>
    <t>⌨️ Shortcut: Select data and press Ctrl + T</t>
  </si>
  <si>
    <t>🔹 Sample Data (Practice Creating a Table with this data!)</t>
  </si>
  <si>
    <t>OrderID</t>
  </si>
  <si>
    <t>Product</t>
  </si>
  <si>
    <t>Category</t>
  </si>
  <si>
    <t>Quantity</t>
  </si>
  <si>
    <t>Price</t>
  </si>
  <si>
    <t>Laptop</t>
  </si>
  <si>
    <t>Electronics</t>
  </si>
  <si>
    <t>Desk Chair</t>
  </si>
  <si>
    <t>Furniture</t>
  </si>
  <si>
    <t>Mouse</t>
  </si>
  <si>
    <t>Notebook</t>
  </si>
  <si>
    <t>Supplies</t>
  </si>
  <si>
    <t>Monitor</t>
  </si>
  <si>
    <t>Desk Lamp</t>
  </si>
  <si>
    <t>Keyboard</t>
  </si>
  <si>
    <t>Printer Paper</t>
  </si>
  <si>
    <t>Filing Cabinet</t>
  </si>
  <si>
    <t>USB Drive</t>
  </si>
  <si>
    <t>💡 TIP: After creating a table, notice the Table Design tab appears. This gives you access to table styles, options, and properties!</t>
  </si>
  <si>
    <t>📋 EXPLORING TABLE FEATURES</t>
  </si>
  <si>
    <t>Once you've created a table, Excel provides many powerful features. Let's explore them!</t>
  </si>
  <si>
    <t>🔹 1. Table Styles</t>
  </si>
  <si>
    <t>• Go to Table Design tab → Table Styles group</t>
  </si>
  <si>
    <t>• Choose from Light, Medium, or Dark styles</t>
  </si>
  <si>
    <t>• Hover over styles to preview before applying</t>
  </si>
  <si>
    <t>🔹 2. Table Style Options</t>
  </si>
  <si>
    <t>In the Table Design tab, you can toggle:</t>
  </si>
  <si>
    <t xml:space="preserve">   ☑ Header Row - Shows/hides the header row</t>
  </si>
  <si>
    <t xml:space="preserve">   ☑ Total Row - Adds a totals row at bottom</t>
  </si>
  <si>
    <t xml:space="preserve">   ☑ Banded Rows - Alternating row colors</t>
  </si>
  <si>
    <t xml:space="preserve">   ☑ Banded Columns - Alternating column colors</t>
  </si>
  <si>
    <t xml:space="preserve">   ☑ First Column - Highlights first column</t>
  </si>
  <si>
    <t xml:space="preserve">   ☑ Last Column - Highlights last column</t>
  </si>
  <si>
    <t xml:space="preserve">   ☑ Filter Button - Shows/hides filter dropdowns</t>
  </si>
  <si>
    <t>🔹 3. Naming Your Table</t>
  </si>
  <si>
    <t>• Select any cell in the table</t>
  </si>
  <si>
    <t>• Go to Table Design tab → Properties group</t>
  </si>
  <si>
    <t>• Change the Table Name (e.g., 'SalesData')</t>
  </si>
  <si>
    <t>• Use meaningful names - no spaces allowed!</t>
  </si>
  <si>
    <t>🔹 4. Structured References</t>
  </si>
  <si>
    <t>Instead of A2:A10, you can use table column names in formulas:</t>
  </si>
  <si>
    <t xml:space="preserve">   =SUM(SalesData[Price])        - Sums the Price column</t>
  </si>
  <si>
    <t xml:space="preserve">   =AVERAGE(SalesData[Quantity]) - Averages Quantity column</t>
  </si>
  <si>
    <t xml:space="preserve">   =SalesData[@Price]            - References current row's Price</t>
  </si>
  <si>
    <t>🔹 5. Automatic Expansion</t>
  </si>
  <si>
    <t>• Type data directly below the last row - table expands automatically!</t>
  </si>
  <si>
    <t>• Type a header to the right - new column is added</t>
  </si>
  <si>
    <t>• Formulas in the table automatically copy to new rows</t>
  </si>
  <si>
    <t>🔹 Example: Table with Total Row Enabled</t>
  </si>
  <si>
    <t>Qty</t>
  </si>
  <si>
    <t>Unit Price</t>
  </si>
  <si>
    <t>Total</t>
  </si>
  <si>
    <t>Widget A</t>
  </si>
  <si>
    <t>Widget B</t>
  </si>
  <si>
    <t>Widget C</t>
  </si>
  <si>
    <t>Widget D</t>
  </si>
  <si>
    <t>Widget E</t>
  </si>
  <si>
    <t>TOTALS:</t>
  </si>
  <si>
    <t>🔍 FILTERS AND SUBTOTAL FUNCTION IN TABLES</t>
  </si>
  <si>
    <t>🔹 Part 1: Using Filters in Tables</t>
  </si>
  <si>
    <t>Tables have built-in filter buttons (▼) on each header. Click to access filtering options:</t>
  </si>
  <si>
    <t>📌 Filter Types:</t>
  </si>
  <si>
    <t xml:space="preserve">   • Text Filters: Contains, Begins With, Ends With, Equals, Does Not Equal</t>
  </si>
  <si>
    <t xml:space="preserve">   • Number Filters: Greater Than, Less Than, Between, Top 10, Above Average</t>
  </si>
  <si>
    <t xml:space="preserve">   • Date Filters: Before, After, Between, This Week, This Month, This Year</t>
  </si>
  <si>
    <t xml:space="preserve">   • Checkbox Selection: Manually select/deselect specific values</t>
  </si>
  <si>
    <t>🔹 Clearing and Changing Filters</t>
  </si>
  <si>
    <t>To Clear a Filter from One Column:</t>
  </si>
  <si>
    <t xml:space="preserve">   1. Click the filter dropdown (▼) on the column header</t>
  </si>
  <si>
    <t xml:space="preserve">   2. Select 'Clear Filter From [Column Name]'</t>
  </si>
  <si>
    <t>To Clear ALL Filters:</t>
  </si>
  <si>
    <t xml:space="preserve">   • Go to Data tab → Click 'Clear' in the Sort &amp; Filter group</t>
  </si>
  <si>
    <t xml:space="preserve">   • Or press Alt + A + C</t>
  </si>
  <si>
    <t>To Change a Filter:</t>
  </si>
  <si>
    <t xml:space="preserve">   • Simply apply a new filter - it replaces the existing one</t>
  </si>
  <si>
    <t xml:space="preserve">   • Or clear first, then apply the new filter</t>
  </si>
  <si>
    <t>🔹 Part 2: The SUBTOTAL Function</t>
  </si>
  <si>
    <t>SUBTOTAL is special because it IGNORES filtered (hidden) rows!</t>
  </si>
  <si>
    <t>Syntax: =SUBTOTAL(function_num, range)</t>
  </si>
  <si>
    <t>Common Function Numbers:</t>
  </si>
  <si>
    <t>Function #</t>
  </si>
  <si>
    <t>Function</t>
  </si>
  <si>
    <t>Description</t>
  </si>
  <si>
    <t>1 or 101</t>
  </si>
  <si>
    <t>AVERAGE</t>
  </si>
  <si>
    <t>Average of visible values</t>
  </si>
  <si>
    <t>2 or 102</t>
  </si>
  <si>
    <t>COUNT</t>
  </si>
  <si>
    <t>Count of visible numbers</t>
  </si>
  <si>
    <t>3 or 103</t>
  </si>
  <si>
    <t>COUNTA</t>
  </si>
  <si>
    <t>Count of visible non-empty cells</t>
  </si>
  <si>
    <t>4 or 104</t>
  </si>
  <si>
    <t>MAX</t>
  </si>
  <si>
    <t>Maximum visible value</t>
  </si>
  <si>
    <t>5 or 105</t>
  </si>
  <si>
    <t>MIN</t>
  </si>
  <si>
    <t>Minimum visible value</t>
  </si>
  <si>
    <t>9 or 109</t>
  </si>
  <si>
    <t>SUM</t>
  </si>
  <si>
    <t>Sum of visible values</t>
  </si>
  <si>
    <t>10 or 110</t>
  </si>
  <si>
    <t>VAR</t>
  </si>
  <si>
    <t>Variance of visible values</t>
  </si>
  <si>
    <t>11 or 111</t>
  </si>
  <si>
    <t>STDEV</t>
  </si>
  <si>
    <t>Standard deviation of visible values</t>
  </si>
  <si>
    <t>💡 TIP: Use 101-111 to ignore manually hidden rows AND filtered rows. Use 1-11 to ignore only filtered rows.</t>
  </si>
  <si>
    <t>🔹 Practice Example: Try Filtering This Data</t>
  </si>
  <si>
    <t>Region</t>
  </si>
  <si>
    <t>Salesperson</t>
  </si>
  <si>
    <t>Revenue</t>
  </si>
  <si>
    <t>North</t>
  </si>
  <si>
    <t>Alice</t>
  </si>
  <si>
    <t>South</t>
  </si>
  <si>
    <t>Bob</t>
  </si>
  <si>
    <t>East</t>
  </si>
  <si>
    <t>Charlie</t>
  </si>
  <si>
    <t>West</t>
  </si>
  <si>
    <t>Diana</t>
  </si>
  <si>
    <t>Eve</t>
  </si>
  <si>
    <t>Frank</t>
  </si>
  <si>
    <t>📊 SUBTOTAL Formulas (These update when you filter!):</t>
  </si>
  <si>
    <t>Total Revenue (visible):</t>
  </si>
  <si>
    <t>Average Revenue (visible):</t>
  </si>
  <si>
    <t>Count of Records (visible):</t>
  </si>
  <si>
    <t>Max Revenue (visible):</t>
  </si>
  <si>
    <t>Min Revenue (visible):</t>
  </si>
  <si>
    <t>📝 EXERCISE: Convert the data above to a Table (Ctrl+T), then filter by Region = 'North'. Watch how the SUBTOTAL values change!</t>
  </si>
  <si>
    <t>The FILTER function is a powerful dynamic array formula that extracts records matching your criteria.</t>
  </si>
  <si>
    <t>Unlike regular filters, FILTER creates a separate output that updates automatically!</t>
  </si>
  <si>
    <t>THE FILTER FUNCTION - Dynamic Data Retrieval</t>
  </si>
  <si>
    <t>SYNTAX</t>
  </si>
  <si>
    <t>Formula: =FILTER(array, include, [if_empty])</t>
  </si>
  <si>
    <t xml:space="preserve">   array - The range of data to filter</t>
  </si>
  <si>
    <t xml:space="preserve">   include - Boolean array for which rows to include</t>
  </si>
  <si>
    <t xml:space="preserve">   if_empty - (Optional) Return value if no match</t>
  </si>
  <si>
    <t>SOURCE DATA</t>
  </si>
  <si>
    <t>Employee</t>
  </si>
  <si>
    <t>Department</t>
  </si>
  <si>
    <t>Years</t>
  </si>
  <si>
    <t>Salary</t>
  </si>
  <si>
    <t>Rating</t>
  </si>
  <si>
    <t>John Smith</t>
  </si>
  <si>
    <t>Sales</t>
  </si>
  <si>
    <t>A</t>
  </si>
  <si>
    <t>Sarah Jones</t>
  </si>
  <si>
    <t>Marketing</t>
  </si>
  <si>
    <t>B</t>
  </si>
  <si>
    <t>Mike Brown</t>
  </si>
  <si>
    <t>Lisa Davis</t>
  </si>
  <si>
    <t>IT</t>
  </si>
  <si>
    <t>Tom Wilson</t>
  </si>
  <si>
    <t>Amy Clark</t>
  </si>
  <si>
    <t>David Lee</t>
  </si>
  <si>
    <t>C</t>
  </si>
  <si>
    <t>Emma White</t>
  </si>
  <si>
    <t>HR</t>
  </si>
  <si>
    <t>Chris Green</t>
  </si>
  <si>
    <t>Kate Black</t>
  </si>
  <si>
    <t>EXAMPLE 1: Single Condition</t>
  </si>
  <si>
    <t>Filter employees in Sales department:</t>
  </si>
  <si>
    <t>Formula: =FILTER(A17:E26, B17:B26="Sales", "No results")</t>
  </si>
  <si>
    <t>Result:</t>
  </si>
  <si>
    <t>EXAMPLE 2: Multiple Conditions (AND)</t>
  </si>
  <si>
    <t>IT employees with Rating A:</t>
  </si>
  <si>
    <t>Formula: =FILTER(A17:E26, (B17:B26="IT")*(E17:E26="A"))</t>
  </si>
  <si>
    <t>EXAMPLE 3: Multiple Conditions (OR)</t>
  </si>
  <si>
    <t>Employees in Sales OR Marketing:</t>
  </si>
  <si>
    <t>Formula: =FILTER(A17:E26, (B17:B26="Sales")+(B17:B26="Marketing"))</t>
  </si>
  <si>
    <t>EXAMPLE 4: Numeric Condition</t>
  </si>
  <si>
    <t>Employees with salary &gt; $60,000:</t>
  </si>
  <si>
    <t>Formula: =FILTER(A17:E26, D17:D26&gt;60000)</t>
  </si>
  <si>
    <t>KEY TIPS</t>
  </si>
  <si>
    <t>* Use multiplication (*) for AND conditions</t>
  </si>
  <si>
    <t>* Use addition (+) for OR conditions</t>
  </si>
  <si>
    <t>* FILTER returns a dynamic array (spills automatically)</t>
  </si>
  <si>
    <t>* Combine with SORT() to order results</t>
  </si>
  <si>
    <t>* Use UNIQUE() with FILTER for distinct values</t>
  </si>
  <si>
    <t>PIVOTTABLES - DEVELOP AND CUSTOMIZE</t>
  </si>
  <si>
    <t>PivotTables are one of Excel's most powerful features for summarizing and analyzing large datasets.</t>
  </si>
  <si>
    <t>They allow you to reorganize, group, and calculate data without changing the original data!</t>
  </si>
  <si>
    <t>WHAT IS A PIVOTTABLE?</t>
  </si>
  <si>
    <t>A PivotTable is an interactive table that:</t>
  </si>
  <si>
    <t xml:space="preserve">   - Summarizes large amounts of data quickly</t>
  </si>
  <si>
    <t xml:space="preserve">   - Groups data by categories (rows and columns)</t>
  </si>
  <si>
    <t xml:space="preserve">   - Calculates totals, averages, counts, and more</t>
  </si>
  <si>
    <t xml:space="preserve">   - Can be easily rearranged by dragging fields</t>
  </si>
  <si>
    <t>HOW TO CREATE A PIVOTTABLE</t>
  </si>
  <si>
    <t>Step 1: Select your data (or any cell within your data)</t>
  </si>
  <si>
    <t>Step 2: Go to Insert tab &gt; PivotTable</t>
  </si>
  <si>
    <t>Step 3: Choose where to place the PivotTable (New or Existing worksheet)</t>
  </si>
  <si>
    <t>Step 5: Drag fields from the Field List to build your report</t>
  </si>
  <si>
    <t>PIVOTTABLE FIELD AREAS</t>
  </si>
  <si>
    <t>Area</t>
  </si>
  <si>
    <t>Purpose</t>
  </si>
  <si>
    <t>Example</t>
  </si>
  <si>
    <t>Filters</t>
  </si>
  <si>
    <t>Filter entire report</t>
  </si>
  <si>
    <t>Show only 2024 data</t>
  </si>
  <si>
    <t>Rows</t>
  </si>
  <si>
    <t>Group data vertically</t>
  </si>
  <si>
    <t>Product categories</t>
  </si>
  <si>
    <t>Columns</t>
  </si>
  <si>
    <t>Group data horizontally</t>
  </si>
  <si>
    <t>Months or Quarters</t>
  </si>
  <si>
    <t>Values</t>
  </si>
  <si>
    <t>Numbers to calculate</t>
  </si>
  <si>
    <t>Sum of Sales</t>
  </si>
  <si>
    <t>CUSTOMIZATION OPTIONS</t>
  </si>
  <si>
    <t>Change Calculation Type:</t>
  </si>
  <si>
    <t xml:space="preserve">   Right-click on a value &gt; Value Field Settings &gt; Choose Sum, Count, Average, Max, Min, etc.</t>
  </si>
  <si>
    <t>Show Values As:</t>
  </si>
  <si>
    <t xml:space="preserve">   - % of Grand Total</t>
  </si>
  <si>
    <t xml:space="preserve">   - % of Column Total</t>
  </si>
  <si>
    <t xml:space="preserve">   - % of Row Total</t>
  </si>
  <si>
    <t xml:space="preserve">   - Running Total</t>
  </si>
  <si>
    <t xml:space="preserve">   - Difference From (compare to another item)</t>
  </si>
  <si>
    <t>Change PivotTable Style:</t>
  </si>
  <si>
    <t xml:space="preserve">   PivotTable Design tab &gt; PivotTable Styles gallery</t>
  </si>
  <si>
    <t>SAMPLE DATA FOR PIVOTTABLE PRACTICE</t>
  </si>
  <si>
    <t>Use this data to create your own PivotTable!</t>
  </si>
  <si>
    <t>Date</t>
  </si>
  <si>
    <t>Units</t>
  </si>
  <si>
    <t>EXERCISE: Create a PivotTable from this data</t>
  </si>
  <si>
    <t>1. Select the data range A48:F63</t>
  </si>
  <si>
    <t>2. Go to Insert &gt; PivotTable</t>
  </si>
  <si>
    <t>3. Place it in a new worksheet</t>
  </si>
  <si>
    <t>4. Drag 'Region' to Rows</t>
  </si>
  <si>
    <t>5. Drag 'Product' to Columns</t>
  </si>
  <si>
    <t>6. Drag 'Revenue' to Values</t>
  </si>
  <si>
    <t>7. You now have a summary of Revenue by Region and Product!</t>
  </si>
  <si>
    <t>HELPFUL TIPS</t>
  </si>
  <si>
    <t>TIP 1: Double-click any value cell to see the underlying data</t>
  </si>
  <si>
    <t>TIP 2: Right-click &gt; Refresh to update after source data changes</t>
  </si>
  <si>
    <t>TIP 3: Use slicers for visual filtering (Insert &gt; Slicer)</t>
  </si>
  <si>
    <t>TIP 4: Group dates by month/quarter/year for time analysis</t>
  </si>
  <si>
    <t>TIP 5: Create a PivotChart for visual representation</t>
  </si>
  <si>
    <t>SUMMARIZING DATA WITH PIVOTTABLES</t>
  </si>
  <si>
    <t>This sheet demonstrates common ways to summarize and analyze data using PivotTables.</t>
  </si>
  <si>
    <t>COMMON SUMMARIZATION SCENARIOS</t>
  </si>
  <si>
    <t>Scenario</t>
  </si>
  <si>
    <t>Row Field</t>
  </si>
  <si>
    <t>Column Field</t>
  </si>
  <si>
    <t>Value Field</t>
  </si>
  <si>
    <t>Calculation</t>
  </si>
  <si>
    <t>Sales by Region</t>
  </si>
  <si>
    <t>-</t>
  </si>
  <si>
    <t>Sum</t>
  </si>
  <si>
    <t>Monthly Sales Trend</t>
  </si>
  <si>
    <t>Date (grouped)</t>
  </si>
  <si>
    <t>Product Performance</t>
  </si>
  <si>
    <t>Sales Rep Ranking</t>
  </si>
  <si>
    <t>Sum (sorted)</t>
  </si>
  <si>
    <t>Average Order Size</t>
  </si>
  <si>
    <t>Average</t>
  </si>
  <si>
    <t>Count of Transactions</t>
  </si>
  <si>
    <t>Count</t>
  </si>
  <si>
    <t>GROUPING DATA IN PIVOTTABLES</t>
  </si>
  <si>
    <t>Group Dates:</t>
  </si>
  <si>
    <t xml:space="preserve">   1. Right-click on a date in your PivotTable</t>
  </si>
  <si>
    <t xml:space="preserve">   2. Select 'Group'</t>
  </si>
  <si>
    <t xml:space="preserve">   3. Choose grouping: Months, Quarters, Years, etc.</t>
  </si>
  <si>
    <t>Group Numbers:</t>
  </si>
  <si>
    <t xml:space="preserve">   1. Right-click on a number field</t>
  </si>
  <si>
    <t xml:space="preserve">   3. Set Starting at, Ending at, and By values</t>
  </si>
  <si>
    <t xml:space="preserve">   Example: Group ages by 10-year ranges (0-10, 11-20, etc.)</t>
  </si>
  <si>
    <t>CALCULATED FIELDS</t>
  </si>
  <si>
    <t>Create custom calculations within your PivotTable:</t>
  </si>
  <si>
    <t xml:space="preserve">   1. Click inside the PivotTable</t>
  </si>
  <si>
    <t xml:space="preserve">   2. PivotTable Analyze tab &gt; Fields, Items &amp; Sets &gt; Calculated Field</t>
  </si>
  <si>
    <t xml:space="preserve">   3. Name your field and enter a formula</t>
  </si>
  <si>
    <t xml:space="preserve">   Example: Profit = Revenue - Cost</t>
  </si>
  <si>
    <t>SLICERS AND TIMELINES</t>
  </si>
  <si>
    <t>Slicers provide visual buttons to filter your PivotTable:</t>
  </si>
  <si>
    <t xml:space="preserve">   2. PivotTable Analyze tab &gt; Insert Slicer</t>
  </si>
  <si>
    <t xml:space="preserve">   3. Select fields to create slicers for</t>
  </si>
  <si>
    <t xml:space="preserve">   4. Click slicer buttons to filter data</t>
  </si>
  <si>
    <t>Timelines are special slicers for date fields:</t>
  </si>
  <si>
    <t xml:space="preserve">   1. PivotTable Analyze tab &gt; Insert Timeline</t>
  </si>
  <si>
    <t xml:space="preserve">   2. Select your date field</t>
  </si>
  <si>
    <t xml:space="preserve">   3. Drag the timeline bar to filter by date range</t>
  </si>
  <si>
    <t>PIVOTCHARTS</t>
  </si>
  <si>
    <t>PivotCharts are charts connected to PivotTables:</t>
  </si>
  <si>
    <t xml:space="preserve">   - They update automatically when PivotTable changes</t>
  </si>
  <si>
    <t xml:space="preserve">   - Filter buttons appear on the chart</t>
  </si>
  <si>
    <t xml:space="preserve">   - Great for dashboards and presentations</t>
  </si>
  <si>
    <t>To Create a PivotChart:</t>
  </si>
  <si>
    <t xml:space="preserve">   Method 1: Click in PivotTable &gt; PivotTable Analyze &gt; PivotChart</t>
  </si>
  <si>
    <t xml:space="preserve">   Method 2: Insert &gt; PivotChart (creates both table and chart)</t>
  </si>
  <si>
    <t>BEST PRACTICES</t>
  </si>
  <si>
    <t>1. Use Tables as Source Data</t>
  </si>
  <si>
    <t xml:space="preserve">   Convert your source data to a Table first - PivotTable will auto-expand</t>
  </si>
  <si>
    <t>2. Name Your PivotTables</t>
  </si>
  <si>
    <t xml:space="preserve">   Use PivotTable Analyze &gt; PivotTable Name for clarity</t>
  </si>
  <si>
    <t>3. Refresh Regularly</t>
  </si>
  <si>
    <t xml:space="preserve">   Right-click &gt; Refresh or use Ctrl+Alt+F5 for all PivotTables</t>
  </si>
  <si>
    <t>4. Use Clear Filters Before New Analysis</t>
  </si>
  <si>
    <t xml:space="preserve">   PivotTable Analyze &gt; Clear &gt; Clear Filters to remove all filters</t>
  </si>
  <si>
    <t>5. Create Multiple PivotTables from Same Data</t>
  </si>
  <si>
    <t xml:space="preserve">   You can create multiple views without duplicating source data</t>
  </si>
  <si>
    <t>KEYBOARD SHORTCUTS</t>
  </si>
  <si>
    <t>Shortcut</t>
  </si>
  <si>
    <t>Action</t>
  </si>
  <si>
    <t>Alt + D, P</t>
  </si>
  <si>
    <t>Open PivotTable Wizard</t>
  </si>
  <si>
    <t>Alt + F5</t>
  </si>
  <si>
    <t>Refresh current PivotTable</t>
  </si>
  <si>
    <t>Ctrl + Alt + F5</t>
  </si>
  <si>
    <t>Refresh all PivotTables</t>
  </si>
  <si>
    <t>Alt + Shift + Right</t>
  </si>
  <si>
    <t>Group selected items</t>
  </si>
  <si>
    <t>Alt + Shift + Left</t>
  </si>
  <si>
    <t>Ungroup selected 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</si>
</sst>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&quot;$&quot;#,##0"/>
    <numFmt numFmtId="166" formatCode="mm/dd/yyyy"/>
  </numFmts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8"/>
      <color rgb="FF1F4E79"/>
      <name val="Aptos Narrow"/>
      <family val="2"/>
      <scheme val="minor"/>
    </font>
    <font>
      <b/>
      <sz val="14"/>
      <color rgb="FF2E75B6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sz val="12"/>
      <color rgb="FF2E75B6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E2EFDA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3" fillId="0" borderId="0" xfId="0" applyFont="1"/>
    <xf numFmtId="0" fontId="4" fillId="2" borderId="2" xfId="0" applyFont="1" applyFill="1" applyBorder="1"/>
    <xf numFmtId="0" fontId="0" fillId="0" borderId="2" xfId="0" applyBorder="1"/>
    <xf numFmtId="164" fontId="0" fillId="0" borderId="2" xfId="0" applyNumberFormat="1" applyBorder="1"/>
    <xf numFmtId="0" fontId="0" fillId="3" borderId="0" xfId="0" applyFill="1"/>
    <xf numFmtId="0" fontId="0" fillId="3" borderId="0" xfId="0" applyFill="1" applyAlignment="1">
      <alignment wrapText="1"/>
    </xf>
    <xf numFmtId="0" fontId="1" fillId="4" borderId="0" xfId="0" applyFont="1" applyFill="1"/>
    <xf numFmtId="0" fontId="1" fillId="4" borderId="2" xfId="0" applyFont="1" applyFill="1" applyBorder="1"/>
    <xf numFmtId="164" fontId="1" fillId="4" borderId="2" xfId="0" applyNumberFormat="1" applyFont="1" applyFill="1" applyBorder="1"/>
    <xf numFmtId="164" fontId="0" fillId="0" borderId="0" xfId="0" applyNumberFormat="1"/>
    <xf numFmtId="0" fontId="0" fillId="5" borderId="0" xfId="0" applyFill="1"/>
    <xf numFmtId="0" fontId="0" fillId="5" borderId="0" xfId="0" applyFill="1" applyAlignment="1">
      <alignment wrapText="1"/>
    </xf>
    <xf numFmtId="165" fontId="0" fillId="0" borderId="2" xfId="0" applyNumberFormat="1" applyBorder="1"/>
    <xf numFmtId="0" fontId="5" fillId="0" borderId="0" xfId="0" applyFont="1"/>
    <xf numFmtId="0" fontId="4" fillId="5" borderId="1" xfId="0" applyFont="1" applyFill="1" applyBorder="1"/>
    <xf numFmtId="166" fontId="0" fillId="0" borderId="2" xfId="0" applyNumberFormat="1" applyBorder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1984A-4FAF-0347-B79C-63AFE8CFE989}">
  <dimension ref="A1:H33"/>
  <sheetViews>
    <sheetView tabSelected="1" workbookViewId="0">
      <selection activeCell="A9" sqref="A9"/>
    </sheetView>
  </sheetViews>
  <sheetFormatPr baseColWidth="10" defaultRowHeight="16" x14ac:dyDescent="0.2"/>
  <cols>
    <col min="1" max="1" width="100" customWidth="1"/>
    <col min="2" max="2" width="16.6640625" customWidth="1"/>
    <col min="3" max="3" width="14.1640625" customWidth="1"/>
    <col min="4" max="5" width="11.6640625" customWidth="1"/>
  </cols>
  <sheetData>
    <row r="1" spans="1:8" ht="24" x14ac:dyDescent="0.3">
      <c r="A1" s="1" t="s">
        <v>0</v>
      </c>
    </row>
    <row r="3" spans="1:8" x14ac:dyDescent="0.2">
      <c r="A3" s="3" t="s">
        <v>1</v>
      </c>
      <c r="B3" s="2"/>
      <c r="C3" s="2"/>
      <c r="D3" s="2"/>
      <c r="E3" s="2"/>
      <c r="F3" s="2"/>
      <c r="G3" s="2"/>
      <c r="H3" s="2"/>
    </row>
    <row r="5" spans="1:8" ht="19" x14ac:dyDescent="0.25">
      <c r="A5" s="5" t="s">
        <v>2</v>
      </c>
    </row>
    <row r="6" spans="1:8" x14ac:dyDescent="0.2">
      <c r="A6" t="s">
        <v>3</v>
      </c>
    </row>
    <row r="7" spans="1:8" x14ac:dyDescent="0.2">
      <c r="A7" t="s">
        <v>4</v>
      </c>
    </row>
    <row r="8" spans="1:8" x14ac:dyDescent="0.2">
      <c r="A8" t="s">
        <v>5</v>
      </c>
    </row>
    <row r="9" spans="1:8" x14ac:dyDescent="0.2">
      <c r="A9" t="s">
        <v>6</v>
      </c>
    </row>
    <row r="10" spans="1:8" x14ac:dyDescent="0.2">
      <c r="A10" t="s">
        <v>7</v>
      </c>
    </row>
    <row r="12" spans="1:8" ht="19" x14ac:dyDescent="0.25">
      <c r="A12" s="5" t="s">
        <v>8</v>
      </c>
    </row>
    <row r="13" spans="1:8" x14ac:dyDescent="0.2">
      <c r="A13" t="s">
        <v>9</v>
      </c>
    </row>
    <row r="14" spans="1:8" x14ac:dyDescent="0.2">
      <c r="A14" t="s">
        <v>10</v>
      </c>
    </row>
    <row r="15" spans="1:8" x14ac:dyDescent="0.2">
      <c r="A15" t="s">
        <v>11</v>
      </c>
    </row>
    <row r="16" spans="1:8" x14ac:dyDescent="0.2">
      <c r="A16" t="s">
        <v>12</v>
      </c>
    </row>
    <row r="17" spans="1:5" x14ac:dyDescent="0.2">
      <c r="A17" s="4" t="s">
        <v>13</v>
      </c>
    </row>
    <row r="19" spans="1:5" ht="19" x14ac:dyDescent="0.25">
      <c r="A19" s="5" t="s">
        <v>14</v>
      </c>
    </row>
    <row r="21" spans="1:5" x14ac:dyDescent="0.2">
      <c r="A21" s="6" t="s">
        <v>15</v>
      </c>
      <c r="B21" s="6" t="s">
        <v>16</v>
      </c>
      <c r="C21" s="6" t="s">
        <v>17</v>
      </c>
      <c r="D21" s="6" t="s">
        <v>18</v>
      </c>
      <c r="E21" s="6" t="s">
        <v>19</v>
      </c>
    </row>
    <row r="22" spans="1:5" x14ac:dyDescent="0.2">
      <c r="A22" s="7">
        <v>1001</v>
      </c>
      <c r="B22" s="7" t="s">
        <v>20</v>
      </c>
      <c r="C22" s="7" t="s">
        <v>21</v>
      </c>
      <c r="D22" s="7">
        <v>5</v>
      </c>
      <c r="E22" s="8">
        <v>999.99</v>
      </c>
    </row>
    <row r="23" spans="1:5" x14ac:dyDescent="0.2">
      <c r="A23" s="7">
        <v>1002</v>
      </c>
      <c r="B23" s="7" t="s">
        <v>22</v>
      </c>
      <c r="C23" s="7" t="s">
        <v>23</v>
      </c>
      <c r="D23" s="7">
        <v>10</v>
      </c>
      <c r="E23" s="8">
        <v>249.5</v>
      </c>
    </row>
    <row r="24" spans="1:5" x14ac:dyDescent="0.2">
      <c r="A24" s="7">
        <v>1003</v>
      </c>
      <c r="B24" s="7" t="s">
        <v>24</v>
      </c>
      <c r="C24" s="7" t="s">
        <v>21</v>
      </c>
      <c r="D24" s="7">
        <v>25</v>
      </c>
      <c r="E24" s="8">
        <v>29.99</v>
      </c>
    </row>
    <row r="25" spans="1:5" x14ac:dyDescent="0.2">
      <c r="A25" s="7">
        <v>1004</v>
      </c>
      <c r="B25" s="7" t="s">
        <v>25</v>
      </c>
      <c r="C25" s="7" t="s">
        <v>26</v>
      </c>
      <c r="D25" s="7">
        <v>100</v>
      </c>
      <c r="E25" s="8">
        <v>4.99</v>
      </c>
    </row>
    <row r="26" spans="1:5" x14ac:dyDescent="0.2">
      <c r="A26" s="7">
        <v>1005</v>
      </c>
      <c r="B26" s="7" t="s">
        <v>27</v>
      </c>
      <c r="C26" s="7" t="s">
        <v>21</v>
      </c>
      <c r="D26" s="7">
        <v>8</v>
      </c>
      <c r="E26" s="8">
        <v>349</v>
      </c>
    </row>
    <row r="27" spans="1:5" x14ac:dyDescent="0.2">
      <c r="A27" s="7">
        <v>1006</v>
      </c>
      <c r="B27" s="7" t="s">
        <v>28</v>
      </c>
      <c r="C27" s="7" t="s">
        <v>23</v>
      </c>
      <c r="D27" s="7">
        <v>15</v>
      </c>
      <c r="E27" s="8">
        <v>45</v>
      </c>
    </row>
    <row r="28" spans="1:5" x14ac:dyDescent="0.2">
      <c r="A28" s="7">
        <v>1007</v>
      </c>
      <c r="B28" s="7" t="s">
        <v>29</v>
      </c>
      <c r="C28" s="7" t="s">
        <v>21</v>
      </c>
      <c r="D28" s="7">
        <v>20</v>
      </c>
      <c r="E28" s="8">
        <v>79.989999999999995</v>
      </c>
    </row>
    <row r="29" spans="1:5" x14ac:dyDescent="0.2">
      <c r="A29" s="7">
        <v>1008</v>
      </c>
      <c r="B29" s="7" t="s">
        <v>30</v>
      </c>
      <c r="C29" s="7" t="s">
        <v>26</v>
      </c>
      <c r="D29" s="7">
        <v>50</v>
      </c>
      <c r="E29" s="8">
        <v>8.99</v>
      </c>
    </row>
    <row r="30" spans="1:5" x14ac:dyDescent="0.2">
      <c r="A30" s="7">
        <v>1009</v>
      </c>
      <c r="B30" s="7" t="s">
        <v>31</v>
      </c>
      <c r="C30" s="7" t="s">
        <v>23</v>
      </c>
      <c r="D30" s="7">
        <v>3</v>
      </c>
      <c r="E30" s="8">
        <v>189</v>
      </c>
    </row>
    <row r="31" spans="1:5" x14ac:dyDescent="0.2">
      <c r="A31" s="7">
        <v>1010</v>
      </c>
      <c r="B31" s="7" t="s">
        <v>32</v>
      </c>
      <c r="C31" s="7" t="s">
        <v>21</v>
      </c>
      <c r="D31" s="7">
        <v>30</v>
      </c>
      <c r="E31" s="8">
        <v>15.99</v>
      </c>
    </row>
    <row r="33" spans="1:1" ht="34" x14ac:dyDescent="0.2">
      <c r="A33" s="10" t="s">
        <v>33</v>
      </c>
    </row>
  </sheetData>
  <mergeCells count="1">
    <mergeCell ref="A3:H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46170-49B8-7142-AF99-A75ABB8DC830}">
  <dimension ref="A1:D45"/>
  <sheetViews>
    <sheetView workbookViewId="0"/>
  </sheetViews>
  <sheetFormatPr baseColWidth="10" defaultRowHeight="16" x14ac:dyDescent="0.2"/>
  <cols>
    <col min="1" max="1" width="75" customWidth="1"/>
    <col min="2" max="4" width="14.1640625" customWidth="1"/>
  </cols>
  <sheetData>
    <row r="1" spans="1:1" ht="24" x14ac:dyDescent="0.3">
      <c r="A1" s="1" t="s">
        <v>34</v>
      </c>
    </row>
    <row r="3" spans="1:1" x14ac:dyDescent="0.2">
      <c r="A3" t="s">
        <v>35</v>
      </c>
    </row>
    <row r="5" spans="1:1" ht="19" x14ac:dyDescent="0.25">
      <c r="A5" s="5" t="s">
        <v>36</v>
      </c>
    </row>
    <row r="6" spans="1:1" x14ac:dyDescent="0.2">
      <c r="A6" t="s">
        <v>37</v>
      </c>
    </row>
    <row r="7" spans="1:1" x14ac:dyDescent="0.2">
      <c r="A7" t="s">
        <v>38</v>
      </c>
    </row>
    <row r="8" spans="1:1" x14ac:dyDescent="0.2">
      <c r="A8" t="s">
        <v>39</v>
      </c>
    </row>
    <row r="10" spans="1:1" ht="19" x14ac:dyDescent="0.25">
      <c r="A10" s="5" t="s">
        <v>40</v>
      </c>
    </row>
    <row r="11" spans="1:1" x14ac:dyDescent="0.2">
      <c r="A11" t="s">
        <v>41</v>
      </c>
    </row>
    <row r="12" spans="1:1" x14ac:dyDescent="0.2">
      <c r="A12" t="s">
        <v>42</v>
      </c>
    </row>
    <row r="13" spans="1:1" x14ac:dyDescent="0.2">
      <c r="A13" t="s">
        <v>43</v>
      </c>
    </row>
    <row r="14" spans="1:1" x14ac:dyDescent="0.2">
      <c r="A14" t="s">
        <v>44</v>
      </c>
    </row>
    <row r="15" spans="1:1" x14ac:dyDescent="0.2">
      <c r="A15" t="s">
        <v>45</v>
      </c>
    </row>
    <row r="16" spans="1:1" x14ac:dyDescent="0.2">
      <c r="A16" t="s">
        <v>46</v>
      </c>
    </row>
    <row r="17" spans="1:1" x14ac:dyDescent="0.2">
      <c r="A17" t="s">
        <v>47</v>
      </c>
    </row>
    <row r="18" spans="1:1" x14ac:dyDescent="0.2">
      <c r="A18" t="s">
        <v>48</v>
      </c>
    </row>
    <row r="20" spans="1:1" ht="19" x14ac:dyDescent="0.25">
      <c r="A20" s="5" t="s">
        <v>49</v>
      </c>
    </row>
    <row r="21" spans="1:1" x14ac:dyDescent="0.2">
      <c r="A21" t="s">
        <v>50</v>
      </c>
    </row>
    <row r="22" spans="1:1" x14ac:dyDescent="0.2">
      <c r="A22" t="s">
        <v>51</v>
      </c>
    </row>
    <row r="23" spans="1:1" x14ac:dyDescent="0.2">
      <c r="A23" t="s">
        <v>52</v>
      </c>
    </row>
    <row r="24" spans="1:1" x14ac:dyDescent="0.2">
      <c r="A24" t="s">
        <v>53</v>
      </c>
    </row>
    <row r="26" spans="1:1" ht="19" x14ac:dyDescent="0.25">
      <c r="A26" s="5" t="s">
        <v>54</v>
      </c>
    </row>
    <row r="27" spans="1:1" x14ac:dyDescent="0.2">
      <c r="A27" t="s">
        <v>55</v>
      </c>
    </row>
    <row r="28" spans="1:1" x14ac:dyDescent="0.2">
      <c r="A28" t="s">
        <v>56</v>
      </c>
    </row>
    <row r="29" spans="1:1" x14ac:dyDescent="0.2">
      <c r="A29" t="s">
        <v>57</v>
      </c>
    </row>
    <row r="30" spans="1:1" x14ac:dyDescent="0.2">
      <c r="A30" t="s">
        <v>58</v>
      </c>
    </row>
    <row r="32" spans="1:1" ht="19" x14ac:dyDescent="0.25">
      <c r="A32" s="5" t="s">
        <v>59</v>
      </c>
    </row>
    <row r="33" spans="1:4" x14ac:dyDescent="0.2">
      <c r="A33" t="s">
        <v>60</v>
      </c>
    </row>
    <row r="34" spans="1:4" x14ac:dyDescent="0.2">
      <c r="A34" t="s">
        <v>61</v>
      </c>
    </row>
    <row r="35" spans="1:4" x14ac:dyDescent="0.2">
      <c r="A35" t="s">
        <v>62</v>
      </c>
    </row>
    <row r="37" spans="1:4" ht="19" x14ac:dyDescent="0.25">
      <c r="A37" s="5" t="s">
        <v>63</v>
      </c>
    </row>
    <row r="39" spans="1:4" x14ac:dyDescent="0.2">
      <c r="A39" s="6" t="s">
        <v>16</v>
      </c>
      <c r="B39" s="6" t="s">
        <v>64</v>
      </c>
      <c r="C39" s="6" t="s">
        <v>65</v>
      </c>
      <c r="D39" s="6" t="s">
        <v>66</v>
      </c>
    </row>
    <row r="40" spans="1:4" x14ac:dyDescent="0.2">
      <c r="A40" s="7" t="s">
        <v>67</v>
      </c>
      <c r="B40" s="7">
        <v>10</v>
      </c>
      <c r="C40" s="8">
        <v>25</v>
      </c>
      <c r="D40" s="8">
        <f>B40*C40</f>
        <v>250</v>
      </c>
    </row>
    <row r="41" spans="1:4" x14ac:dyDescent="0.2">
      <c r="A41" s="7" t="s">
        <v>68</v>
      </c>
      <c r="B41" s="7">
        <v>15</v>
      </c>
      <c r="C41" s="8">
        <v>30</v>
      </c>
      <c r="D41" s="8">
        <f>B41*C41</f>
        <v>450</v>
      </c>
    </row>
    <row r="42" spans="1:4" x14ac:dyDescent="0.2">
      <c r="A42" s="7" t="s">
        <v>69</v>
      </c>
      <c r="B42" s="7">
        <v>8</v>
      </c>
      <c r="C42" s="8">
        <v>22.5</v>
      </c>
      <c r="D42" s="8">
        <f>B42*C42</f>
        <v>180</v>
      </c>
    </row>
    <row r="43" spans="1:4" x14ac:dyDescent="0.2">
      <c r="A43" s="7" t="s">
        <v>70</v>
      </c>
      <c r="B43" s="7">
        <v>20</v>
      </c>
      <c r="C43" s="8">
        <v>18</v>
      </c>
      <c r="D43" s="8">
        <f>B43*C43</f>
        <v>360</v>
      </c>
    </row>
    <row r="44" spans="1:4" x14ac:dyDescent="0.2">
      <c r="A44" s="7" t="s">
        <v>71</v>
      </c>
      <c r="B44" s="7">
        <v>12</v>
      </c>
      <c r="C44" s="8">
        <v>35</v>
      </c>
      <c r="D44" s="8">
        <f>B44*C44</f>
        <v>420</v>
      </c>
    </row>
    <row r="45" spans="1:4" x14ac:dyDescent="0.2">
      <c r="A45" s="12" t="s">
        <v>72</v>
      </c>
      <c r="B45" s="12">
        <f>SUM(B40:B44)</f>
        <v>65</v>
      </c>
      <c r="C45" s="12"/>
      <c r="D45" s="13">
        <f>SUM(D40:D44)</f>
        <v>1660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9C37A-5880-5E4C-84F2-F6F1D3B6E215}">
  <dimension ref="A1:E69"/>
  <sheetViews>
    <sheetView topLeftCell="A55" workbookViewId="0">
      <selection activeCell="A69" sqref="A69"/>
    </sheetView>
  </sheetViews>
  <sheetFormatPr baseColWidth="10" defaultRowHeight="16" x14ac:dyDescent="0.2"/>
  <cols>
    <col min="1" max="1" width="33.33203125" customWidth="1"/>
    <col min="2" max="2" width="16.6640625" customWidth="1"/>
    <col min="3" max="3" width="13.33203125" customWidth="1"/>
    <col min="4" max="4" width="11.6640625" customWidth="1"/>
    <col min="5" max="5" width="16.6640625" customWidth="1"/>
  </cols>
  <sheetData>
    <row r="1" spans="1:1" ht="24" x14ac:dyDescent="0.3">
      <c r="A1" s="1" t="s">
        <v>73</v>
      </c>
    </row>
    <row r="3" spans="1:1" ht="19" x14ac:dyDescent="0.25">
      <c r="A3" s="5" t="s">
        <v>74</v>
      </c>
    </row>
    <row r="5" spans="1:1" x14ac:dyDescent="0.2">
      <c r="A5" t="s">
        <v>75</v>
      </c>
    </row>
    <row r="7" spans="1:1" x14ac:dyDescent="0.2">
      <c r="A7" s="4" t="s">
        <v>76</v>
      </c>
    </row>
    <row r="8" spans="1:1" x14ac:dyDescent="0.2">
      <c r="A8" t="s">
        <v>77</v>
      </c>
    </row>
    <row r="9" spans="1:1" x14ac:dyDescent="0.2">
      <c r="A9" t="s">
        <v>78</v>
      </c>
    </row>
    <row r="10" spans="1:1" x14ac:dyDescent="0.2">
      <c r="A10" t="s">
        <v>79</v>
      </c>
    </row>
    <row r="11" spans="1:1" x14ac:dyDescent="0.2">
      <c r="A11" t="s">
        <v>80</v>
      </c>
    </row>
    <row r="13" spans="1:1" ht="19" x14ac:dyDescent="0.25">
      <c r="A13" s="5" t="s">
        <v>81</v>
      </c>
    </row>
    <row r="15" spans="1:1" x14ac:dyDescent="0.2">
      <c r="A15" s="4" t="s">
        <v>82</v>
      </c>
    </row>
    <row r="16" spans="1:1" x14ac:dyDescent="0.2">
      <c r="A16" t="s">
        <v>83</v>
      </c>
    </row>
    <row r="17" spans="1:1" x14ac:dyDescent="0.2">
      <c r="A17" t="s">
        <v>84</v>
      </c>
    </row>
    <row r="19" spans="1:1" x14ac:dyDescent="0.2">
      <c r="A19" s="4" t="s">
        <v>85</v>
      </c>
    </row>
    <row r="20" spans="1:1" x14ac:dyDescent="0.2">
      <c r="A20" t="s">
        <v>86</v>
      </c>
    </row>
    <row r="21" spans="1:1" x14ac:dyDescent="0.2">
      <c r="A21" t="s">
        <v>87</v>
      </c>
    </row>
    <row r="23" spans="1:1" x14ac:dyDescent="0.2">
      <c r="A23" s="4" t="s">
        <v>88</v>
      </c>
    </row>
    <row r="24" spans="1:1" x14ac:dyDescent="0.2">
      <c r="A24" t="s">
        <v>89</v>
      </c>
    </row>
    <row r="25" spans="1:1" x14ac:dyDescent="0.2">
      <c r="A25" t="s">
        <v>90</v>
      </c>
    </row>
    <row r="27" spans="1:1" ht="19" x14ac:dyDescent="0.25">
      <c r="A27" s="5" t="s">
        <v>91</v>
      </c>
    </row>
    <row r="29" spans="1:1" x14ac:dyDescent="0.2">
      <c r="A29" s="4" t="s">
        <v>92</v>
      </c>
    </row>
    <row r="31" spans="1:1" x14ac:dyDescent="0.2">
      <c r="A31" s="4" t="s">
        <v>93</v>
      </c>
    </row>
    <row r="33" spans="1:5" x14ac:dyDescent="0.2">
      <c r="A33" s="4" t="s">
        <v>94</v>
      </c>
    </row>
    <row r="34" spans="1:5" x14ac:dyDescent="0.2">
      <c r="A34" s="6" t="s">
        <v>95</v>
      </c>
      <c r="B34" s="6" t="s">
        <v>96</v>
      </c>
      <c r="C34" s="6" t="s">
        <v>97</v>
      </c>
    </row>
    <row r="35" spans="1:5" x14ac:dyDescent="0.2">
      <c r="A35" s="7" t="s">
        <v>98</v>
      </c>
      <c r="B35" s="7" t="s">
        <v>99</v>
      </c>
      <c r="C35" s="7" t="s">
        <v>100</v>
      </c>
    </row>
    <row r="36" spans="1:5" x14ac:dyDescent="0.2">
      <c r="A36" s="7" t="s">
        <v>101</v>
      </c>
      <c r="B36" s="7" t="s">
        <v>102</v>
      </c>
      <c r="C36" s="7" t="s">
        <v>103</v>
      </c>
    </row>
    <row r="37" spans="1:5" x14ac:dyDescent="0.2">
      <c r="A37" s="7" t="s">
        <v>104</v>
      </c>
      <c r="B37" s="7" t="s">
        <v>105</v>
      </c>
      <c r="C37" s="7" t="s">
        <v>106</v>
      </c>
    </row>
    <row r="38" spans="1:5" x14ac:dyDescent="0.2">
      <c r="A38" s="7" t="s">
        <v>107</v>
      </c>
      <c r="B38" s="7" t="s">
        <v>108</v>
      </c>
      <c r="C38" s="7" t="s">
        <v>109</v>
      </c>
    </row>
    <row r="39" spans="1:5" x14ac:dyDescent="0.2">
      <c r="A39" s="7" t="s">
        <v>110</v>
      </c>
      <c r="B39" s="7" t="s">
        <v>111</v>
      </c>
      <c r="C39" s="7" t="s">
        <v>112</v>
      </c>
    </row>
    <row r="40" spans="1:5" x14ac:dyDescent="0.2">
      <c r="A40" s="7" t="s">
        <v>113</v>
      </c>
      <c r="B40" s="7" t="s">
        <v>114</v>
      </c>
      <c r="C40" s="7" t="s">
        <v>115</v>
      </c>
    </row>
    <row r="41" spans="1:5" x14ac:dyDescent="0.2">
      <c r="A41" s="7" t="s">
        <v>116</v>
      </c>
      <c r="B41" s="7" t="s">
        <v>117</v>
      </c>
      <c r="C41" s="7" t="s">
        <v>118</v>
      </c>
    </row>
    <row r="42" spans="1:5" x14ac:dyDescent="0.2">
      <c r="A42" s="7" t="s">
        <v>119</v>
      </c>
      <c r="B42" s="7" t="s">
        <v>120</v>
      </c>
      <c r="C42" s="7" t="s">
        <v>121</v>
      </c>
    </row>
    <row r="44" spans="1:5" x14ac:dyDescent="0.2">
      <c r="A44" s="9" t="s">
        <v>122</v>
      </c>
    </row>
    <row r="46" spans="1:5" ht="19" x14ac:dyDescent="0.25">
      <c r="A46" s="5" t="s">
        <v>123</v>
      </c>
    </row>
    <row r="48" spans="1:5" x14ac:dyDescent="0.2">
      <c r="A48" s="6" t="s">
        <v>124</v>
      </c>
      <c r="B48" s="6" t="s">
        <v>125</v>
      </c>
      <c r="C48" s="6" t="s">
        <v>16</v>
      </c>
      <c r="D48" s="6" t="s">
        <v>18</v>
      </c>
      <c r="E48" s="6" t="s">
        <v>126</v>
      </c>
    </row>
    <row r="49" spans="1:5" x14ac:dyDescent="0.2">
      <c r="A49" s="7" t="s">
        <v>127</v>
      </c>
      <c r="B49" s="7" t="s">
        <v>128</v>
      </c>
      <c r="C49" s="7" t="s">
        <v>20</v>
      </c>
      <c r="D49" s="7">
        <v>5</v>
      </c>
      <c r="E49" s="8">
        <v>4999.95</v>
      </c>
    </row>
    <row r="50" spans="1:5" x14ac:dyDescent="0.2">
      <c r="A50" s="7" t="s">
        <v>129</v>
      </c>
      <c r="B50" s="7" t="s">
        <v>130</v>
      </c>
      <c r="C50" s="7" t="s">
        <v>27</v>
      </c>
      <c r="D50" s="7">
        <v>10</v>
      </c>
      <c r="E50" s="8">
        <v>3490</v>
      </c>
    </row>
    <row r="51" spans="1:5" x14ac:dyDescent="0.2">
      <c r="A51" s="7" t="s">
        <v>131</v>
      </c>
      <c r="B51" s="7" t="s">
        <v>132</v>
      </c>
      <c r="C51" s="7" t="s">
        <v>29</v>
      </c>
      <c r="D51" s="7">
        <v>25</v>
      </c>
      <c r="E51" s="8">
        <v>1999.75</v>
      </c>
    </row>
    <row r="52" spans="1:5" x14ac:dyDescent="0.2">
      <c r="A52" s="7" t="s">
        <v>133</v>
      </c>
      <c r="B52" s="7" t="s">
        <v>134</v>
      </c>
      <c r="C52" s="7" t="s">
        <v>24</v>
      </c>
      <c r="D52" s="7">
        <v>50</v>
      </c>
      <c r="E52" s="8">
        <v>1499.5</v>
      </c>
    </row>
    <row r="53" spans="1:5" x14ac:dyDescent="0.2">
      <c r="A53" s="7" t="s">
        <v>127</v>
      </c>
      <c r="B53" s="7" t="s">
        <v>128</v>
      </c>
      <c r="C53" s="7" t="s">
        <v>27</v>
      </c>
      <c r="D53" s="7">
        <v>8</v>
      </c>
      <c r="E53" s="8">
        <v>2792</v>
      </c>
    </row>
    <row r="54" spans="1:5" x14ac:dyDescent="0.2">
      <c r="A54" s="7" t="s">
        <v>129</v>
      </c>
      <c r="B54" s="7" t="s">
        <v>130</v>
      </c>
      <c r="C54" s="7" t="s">
        <v>20</v>
      </c>
      <c r="D54" s="7">
        <v>3</v>
      </c>
      <c r="E54" s="8">
        <v>2999.97</v>
      </c>
    </row>
    <row r="55" spans="1:5" x14ac:dyDescent="0.2">
      <c r="A55" s="7" t="s">
        <v>131</v>
      </c>
      <c r="B55" s="7" t="s">
        <v>132</v>
      </c>
      <c r="C55" s="7" t="s">
        <v>24</v>
      </c>
      <c r="D55" s="7">
        <v>30</v>
      </c>
      <c r="E55" s="8">
        <v>899.7</v>
      </c>
    </row>
    <row r="56" spans="1:5" x14ac:dyDescent="0.2">
      <c r="A56" s="7" t="s">
        <v>133</v>
      </c>
      <c r="B56" s="7" t="s">
        <v>134</v>
      </c>
      <c r="C56" s="7" t="s">
        <v>29</v>
      </c>
      <c r="D56" s="7">
        <v>15</v>
      </c>
      <c r="E56" s="8">
        <v>1199.8499999999999</v>
      </c>
    </row>
    <row r="57" spans="1:5" x14ac:dyDescent="0.2">
      <c r="A57" s="7" t="s">
        <v>127</v>
      </c>
      <c r="B57" s="7" t="s">
        <v>135</v>
      </c>
      <c r="C57" s="7" t="s">
        <v>20</v>
      </c>
      <c r="D57" s="7">
        <v>7</v>
      </c>
      <c r="E57" s="8">
        <v>6999.93</v>
      </c>
    </row>
    <row r="58" spans="1:5" x14ac:dyDescent="0.2">
      <c r="A58" s="7" t="s">
        <v>129</v>
      </c>
      <c r="B58" s="7" t="s">
        <v>136</v>
      </c>
      <c r="C58" s="7" t="s">
        <v>27</v>
      </c>
      <c r="D58" s="7">
        <v>12</v>
      </c>
      <c r="E58" s="8">
        <v>4188</v>
      </c>
    </row>
    <row r="60" spans="1:5" x14ac:dyDescent="0.2">
      <c r="A60" s="4" t="s">
        <v>137</v>
      </c>
    </row>
    <row r="62" spans="1:5" x14ac:dyDescent="0.2">
      <c r="A62" t="s">
        <v>138</v>
      </c>
      <c r="B62" s="14">
        <f>SUBTOTAL(109,E49:E58)</f>
        <v>31068.65</v>
      </c>
    </row>
    <row r="63" spans="1:5" x14ac:dyDescent="0.2">
      <c r="A63" t="s">
        <v>139</v>
      </c>
      <c r="B63" s="14">
        <f>SUBTOTAL(101,E49:E58)</f>
        <v>3106.8650000000002</v>
      </c>
    </row>
    <row r="64" spans="1:5" x14ac:dyDescent="0.2">
      <c r="A64" t="s">
        <v>140</v>
      </c>
      <c r="B64">
        <f>SUBTOTAL(103,A49:A58)</f>
        <v>10</v>
      </c>
    </row>
    <row r="66" spans="1:2" x14ac:dyDescent="0.2">
      <c r="A66" t="s">
        <v>141</v>
      </c>
      <c r="B66" s="14">
        <f>SUBTOTAL(104,E49:E58)</f>
        <v>6999.93</v>
      </c>
    </row>
    <row r="67" spans="1:2" x14ac:dyDescent="0.2">
      <c r="A67" t="s">
        <v>142</v>
      </c>
      <c r="B67" s="14">
        <f>SUBTOTAL(105,E49:E58)</f>
        <v>899.7</v>
      </c>
    </row>
    <row r="69" spans="1:2" ht="255" x14ac:dyDescent="0.2">
      <c r="A69" s="16" t="s">
        <v>143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4BC87-448A-A24A-AF19-18883EF01A40}">
  <dimension ref="A1:K55"/>
  <sheetViews>
    <sheetView workbookViewId="0"/>
  </sheetViews>
  <sheetFormatPr baseColWidth="10" defaultRowHeight="16" x14ac:dyDescent="0.2"/>
  <cols>
    <col min="1" max="1" width="20" customWidth="1"/>
    <col min="2" max="2" width="14.1640625" customWidth="1"/>
    <col min="3" max="3" width="8.33203125" customWidth="1"/>
    <col min="4" max="4" width="11.6640625" customWidth="1"/>
    <col min="5" max="5" width="9.1640625" customWidth="1"/>
    <col min="7" max="11" width="16.6640625" customWidth="1"/>
  </cols>
  <sheetData>
    <row r="1" spans="1:7" ht="24" x14ac:dyDescent="0.3">
      <c r="A1" s="1" t="s">
        <v>146</v>
      </c>
    </row>
    <row r="3" spans="1:7" x14ac:dyDescent="0.2">
      <c r="A3" t="s">
        <v>144</v>
      </c>
    </row>
    <row r="4" spans="1:7" x14ac:dyDescent="0.2">
      <c r="A4" t="s">
        <v>145</v>
      </c>
    </row>
    <row r="6" spans="1:7" ht="19" x14ac:dyDescent="0.25">
      <c r="A6" s="5" t="s">
        <v>147</v>
      </c>
    </row>
    <row r="8" spans="1:7" x14ac:dyDescent="0.2">
      <c r="A8" s="11" t="s">
        <v>148</v>
      </c>
    </row>
    <row r="10" spans="1:7" x14ac:dyDescent="0.2">
      <c r="A10" t="s">
        <v>149</v>
      </c>
    </row>
    <row r="11" spans="1:7" x14ac:dyDescent="0.2">
      <c r="A11" t="s">
        <v>150</v>
      </c>
    </row>
    <row r="12" spans="1:7" x14ac:dyDescent="0.2">
      <c r="A12" t="s">
        <v>151</v>
      </c>
    </row>
    <row r="14" spans="1:7" ht="19" x14ac:dyDescent="0.25">
      <c r="A14" s="5" t="s">
        <v>152</v>
      </c>
      <c r="G14" s="18" t="s">
        <v>175</v>
      </c>
    </row>
    <row r="15" spans="1:7" x14ac:dyDescent="0.2">
      <c r="G15" t="s">
        <v>176</v>
      </c>
    </row>
    <row r="16" spans="1:7" x14ac:dyDescent="0.2">
      <c r="A16" s="6" t="s">
        <v>153</v>
      </c>
      <c r="B16" s="6" t="s">
        <v>154</v>
      </c>
      <c r="C16" s="6" t="s">
        <v>155</v>
      </c>
      <c r="D16" s="6" t="s">
        <v>156</v>
      </c>
      <c r="E16" s="6" t="s">
        <v>157</v>
      </c>
      <c r="G16" s="19" t="s">
        <v>177</v>
      </c>
    </row>
    <row r="17" spans="1:11" x14ac:dyDescent="0.2">
      <c r="A17" s="7" t="s">
        <v>158</v>
      </c>
      <c r="B17" s="7" t="s">
        <v>159</v>
      </c>
      <c r="C17" s="7">
        <v>5</v>
      </c>
      <c r="D17" s="17">
        <v>55000</v>
      </c>
      <c r="E17" s="7" t="s">
        <v>160</v>
      </c>
    </row>
    <row r="18" spans="1:11" x14ac:dyDescent="0.2">
      <c r="A18" s="7" t="s">
        <v>161</v>
      </c>
      <c r="B18" s="7" t="s">
        <v>162</v>
      </c>
      <c r="C18" s="7">
        <v>3</v>
      </c>
      <c r="D18" s="17">
        <v>48000</v>
      </c>
      <c r="E18" s="7" t="s">
        <v>163</v>
      </c>
      <c r="G18" s="4" t="s">
        <v>178</v>
      </c>
    </row>
    <row r="19" spans="1:11" x14ac:dyDescent="0.2">
      <c r="A19" s="7" t="s">
        <v>164</v>
      </c>
      <c r="B19" s="7" t="s">
        <v>159</v>
      </c>
      <c r="C19" s="7">
        <v>8</v>
      </c>
      <c r="D19" s="17">
        <v>72000</v>
      </c>
      <c r="E19" s="7" t="s">
        <v>160</v>
      </c>
      <c r="G19" t="str" cm="1">
        <f t="array" ref="G19:K21">_xlfn._xlws.FILTER(A17:E26, B17:B26="Sales", "No results")</f>
        <v>John Smith</v>
      </c>
      <c r="H19" t="str">
        <v>Sales</v>
      </c>
      <c r="I19">
        <v>5</v>
      </c>
      <c r="J19">
        <v>55000</v>
      </c>
      <c r="K19" t="str">
        <v>A</v>
      </c>
    </row>
    <row r="20" spans="1:11" x14ac:dyDescent="0.2">
      <c r="A20" s="7" t="s">
        <v>165</v>
      </c>
      <c r="B20" s="7" t="s">
        <v>166</v>
      </c>
      <c r="C20" s="7">
        <v>2</v>
      </c>
      <c r="D20" s="17">
        <v>52000</v>
      </c>
      <c r="E20" s="7" t="s">
        <v>160</v>
      </c>
      <c r="G20" t="str">
        <v>Mike Brown</v>
      </c>
      <c r="H20" t="str">
        <v>Sales</v>
      </c>
      <c r="I20">
        <v>8</v>
      </c>
      <c r="J20">
        <v>72000</v>
      </c>
      <c r="K20" t="str">
        <v>A</v>
      </c>
    </row>
    <row r="21" spans="1:11" x14ac:dyDescent="0.2">
      <c r="A21" s="7" t="s">
        <v>167</v>
      </c>
      <c r="B21" s="7" t="s">
        <v>162</v>
      </c>
      <c r="C21" s="7">
        <v>6</v>
      </c>
      <c r="D21" s="17">
        <v>58000</v>
      </c>
      <c r="E21" s="7" t="s">
        <v>163</v>
      </c>
      <c r="G21" t="str">
        <v>David Lee</v>
      </c>
      <c r="H21" t="str">
        <v>Sales</v>
      </c>
      <c r="I21">
        <v>1</v>
      </c>
      <c r="J21">
        <v>42000</v>
      </c>
      <c r="K21" t="str">
        <v>C</v>
      </c>
    </row>
    <row r="22" spans="1:11" x14ac:dyDescent="0.2">
      <c r="A22" s="7" t="s">
        <v>168</v>
      </c>
      <c r="B22" s="7" t="s">
        <v>166</v>
      </c>
      <c r="C22" s="7">
        <v>4</v>
      </c>
      <c r="D22" s="17">
        <v>61000</v>
      </c>
      <c r="E22" s="7" t="s">
        <v>160</v>
      </c>
    </row>
    <row r="23" spans="1:11" x14ac:dyDescent="0.2">
      <c r="A23" s="7" t="s">
        <v>169</v>
      </c>
      <c r="B23" s="7" t="s">
        <v>159</v>
      </c>
      <c r="C23" s="7">
        <v>1</v>
      </c>
      <c r="D23" s="17">
        <v>42000</v>
      </c>
      <c r="E23" s="7" t="s">
        <v>170</v>
      </c>
    </row>
    <row r="24" spans="1:11" x14ac:dyDescent="0.2">
      <c r="A24" s="7" t="s">
        <v>171</v>
      </c>
      <c r="B24" s="7" t="s">
        <v>172</v>
      </c>
      <c r="C24" s="7">
        <v>7</v>
      </c>
      <c r="D24" s="17">
        <v>54000</v>
      </c>
      <c r="E24" s="7" t="s">
        <v>163</v>
      </c>
    </row>
    <row r="25" spans="1:11" x14ac:dyDescent="0.2">
      <c r="A25" s="7" t="s">
        <v>173</v>
      </c>
      <c r="B25" s="7" t="s">
        <v>166</v>
      </c>
      <c r="C25" s="7">
        <v>5</v>
      </c>
      <c r="D25" s="17">
        <v>67000</v>
      </c>
      <c r="E25" s="7" t="s">
        <v>160</v>
      </c>
      <c r="G25" s="18" t="s">
        <v>179</v>
      </c>
    </row>
    <row r="26" spans="1:11" x14ac:dyDescent="0.2">
      <c r="A26" s="7" t="s">
        <v>174</v>
      </c>
      <c r="B26" s="7" t="s">
        <v>172</v>
      </c>
      <c r="C26" s="7">
        <v>3</v>
      </c>
      <c r="D26" s="17">
        <v>49000</v>
      </c>
      <c r="E26" s="7" t="s">
        <v>163</v>
      </c>
      <c r="G26" t="s">
        <v>180</v>
      </c>
    </row>
    <row r="27" spans="1:11" x14ac:dyDescent="0.2">
      <c r="G27" s="15" t="s">
        <v>181</v>
      </c>
    </row>
    <row r="28" spans="1:11" ht="19" x14ac:dyDescent="0.25">
      <c r="A28" s="5" t="s">
        <v>188</v>
      </c>
    </row>
    <row r="29" spans="1:11" x14ac:dyDescent="0.2">
      <c r="G29" s="4" t="s">
        <v>178</v>
      </c>
    </row>
    <row r="30" spans="1:11" x14ac:dyDescent="0.2">
      <c r="A30" t="s">
        <v>189</v>
      </c>
      <c r="G30" t="str" cm="1">
        <f t="array" ref="G30:K32">_xlfn._xlws.FILTER(A17:E26, (B17:B26="IT")*(E17:E26="A"), "No results")</f>
        <v>Lisa Davis</v>
      </c>
      <c r="H30" t="str">
        <v>IT</v>
      </c>
      <c r="I30">
        <v>2</v>
      </c>
      <c r="J30">
        <v>52000</v>
      </c>
      <c r="K30" t="str">
        <v>A</v>
      </c>
    </row>
    <row r="31" spans="1:11" x14ac:dyDescent="0.2">
      <c r="A31" t="s">
        <v>190</v>
      </c>
      <c r="G31" t="str">
        <v>Amy Clark</v>
      </c>
      <c r="H31" t="str">
        <v>IT</v>
      </c>
      <c r="I31">
        <v>4</v>
      </c>
      <c r="J31">
        <v>61000</v>
      </c>
      <c r="K31" t="str">
        <v>A</v>
      </c>
    </row>
    <row r="32" spans="1:11" x14ac:dyDescent="0.2">
      <c r="A32" t="s">
        <v>191</v>
      </c>
      <c r="G32" t="str">
        <v>Chris Green</v>
      </c>
      <c r="H32" t="str">
        <v>IT</v>
      </c>
      <c r="I32">
        <v>5</v>
      </c>
      <c r="J32">
        <v>67000</v>
      </c>
      <c r="K32" t="str">
        <v>A</v>
      </c>
    </row>
    <row r="33" spans="1:11" x14ac:dyDescent="0.2">
      <c r="A33" t="s">
        <v>192</v>
      </c>
    </row>
    <row r="34" spans="1:11" x14ac:dyDescent="0.2">
      <c r="A34" t="s">
        <v>193</v>
      </c>
    </row>
    <row r="36" spans="1:11" x14ac:dyDescent="0.2">
      <c r="G36" s="18" t="s">
        <v>182</v>
      </c>
    </row>
    <row r="37" spans="1:11" x14ac:dyDescent="0.2">
      <c r="G37" t="s">
        <v>183</v>
      </c>
    </row>
    <row r="38" spans="1:11" x14ac:dyDescent="0.2">
      <c r="G38" s="15" t="s">
        <v>184</v>
      </c>
    </row>
    <row r="40" spans="1:11" x14ac:dyDescent="0.2">
      <c r="G40" s="4" t="s">
        <v>178</v>
      </c>
    </row>
    <row r="41" spans="1:11" x14ac:dyDescent="0.2">
      <c r="G41" t="str" cm="1">
        <f t="array" ref="G41:K45">_xlfn._xlws.FILTER(A17:E26, (B17:B26="Sales")+(B17:B26="Marketing"), "No results")</f>
        <v>John Smith</v>
      </c>
      <c r="H41" t="str">
        <v>Sales</v>
      </c>
      <c r="I41">
        <v>5</v>
      </c>
      <c r="J41">
        <v>55000</v>
      </c>
      <c r="K41" t="str">
        <v>A</v>
      </c>
    </row>
    <row r="42" spans="1:11" x14ac:dyDescent="0.2">
      <c r="G42" t="str">
        <v>Sarah Jones</v>
      </c>
      <c r="H42" t="str">
        <v>Marketing</v>
      </c>
      <c r="I42">
        <v>3</v>
      </c>
      <c r="J42">
        <v>48000</v>
      </c>
      <c r="K42" t="str">
        <v>B</v>
      </c>
    </row>
    <row r="43" spans="1:11" x14ac:dyDescent="0.2">
      <c r="G43" t="str">
        <v>Mike Brown</v>
      </c>
      <c r="H43" t="str">
        <v>Sales</v>
      </c>
      <c r="I43">
        <v>8</v>
      </c>
      <c r="J43">
        <v>72000</v>
      </c>
      <c r="K43" t="str">
        <v>A</v>
      </c>
    </row>
    <row r="44" spans="1:11" x14ac:dyDescent="0.2">
      <c r="G44" t="str">
        <v>Tom Wilson</v>
      </c>
      <c r="H44" t="str">
        <v>Marketing</v>
      </c>
      <c r="I44">
        <v>6</v>
      </c>
      <c r="J44">
        <v>58000</v>
      </c>
      <c r="K44" t="str">
        <v>B</v>
      </c>
    </row>
    <row r="45" spans="1:11" x14ac:dyDescent="0.2">
      <c r="G45" t="str">
        <v>David Lee</v>
      </c>
      <c r="H45" t="str">
        <v>Sales</v>
      </c>
      <c r="I45">
        <v>1</v>
      </c>
      <c r="J45">
        <v>42000</v>
      </c>
      <c r="K45" t="str">
        <v>C</v>
      </c>
    </row>
    <row r="48" spans="1:11" x14ac:dyDescent="0.2">
      <c r="G48" s="18" t="s">
        <v>185</v>
      </c>
    </row>
    <row r="49" spans="7:11" x14ac:dyDescent="0.2">
      <c r="G49" t="s">
        <v>186</v>
      </c>
    </row>
    <row r="50" spans="7:11" x14ac:dyDescent="0.2">
      <c r="G50" s="15" t="s">
        <v>187</v>
      </c>
    </row>
    <row r="52" spans="7:11" x14ac:dyDescent="0.2">
      <c r="G52" s="4" t="s">
        <v>178</v>
      </c>
    </row>
    <row r="53" spans="7:11" x14ac:dyDescent="0.2">
      <c r="G53" t="str" cm="1">
        <f t="array" ref="G53:K55">_xlfn._xlws.FILTER(A17:E26, D17:D26&gt;60000, "No results")</f>
        <v>Mike Brown</v>
      </c>
      <c r="H53" t="str">
        <v>Sales</v>
      </c>
      <c r="I53">
        <v>8</v>
      </c>
      <c r="J53">
        <v>72000</v>
      </c>
      <c r="K53" t="str">
        <v>A</v>
      </c>
    </row>
    <row r="54" spans="7:11" x14ac:dyDescent="0.2">
      <c r="G54" t="str">
        <v>Amy Clark</v>
      </c>
      <c r="H54" t="str">
        <v>IT</v>
      </c>
      <c r="I54">
        <v>4</v>
      </c>
      <c r="J54">
        <v>61000</v>
      </c>
      <c r="K54" t="str">
        <v>A</v>
      </c>
    </row>
    <row r="55" spans="7:11" x14ac:dyDescent="0.2">
      <c r="G55" t="str">
        <v>Chris Green</v>
      </c>
      <c r="H55" t="str">
        <v>IT</v>
      </c>
      <c r="I55">
        <v>5</v>
      </c>
      <c r="J55">
        <v>67000</v>
      </c>
      <c r="K55" t="str">
        <v>A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D12E3-0D83-A34C-8F08-9DACF0BAECB8}">
  <dimension ref="A1:F81"/>
  <sheetViews>
    <sheetView topLeftCell="A53" workbookViewId="0"/>
  </sheetViews>
  <sheetFormatPr baseColWidth="10" defaultRowHeight="16" x14ac:dyDescent="0.2"/>
  <cols>
    <col min="1" max="3" width="25" customWidth="1"/>
    <col min="4" max="4" width="13.33203125" customWidth="1"/>
    <col min="5" max="5" width="10" customWidth="1"/>
    <col min="6" max="6" width="14.1640625" customWidth="1"/>
  </cols>
  <sheetData>
    <row r="1" spans="1:1" ht="24" x14ac:dyDescent="0.3">
      <c r="A1" s="1" t="s">
        <v>194</v>
      </c>
    </row>
    <row r="3" spans="1:1" x14ac:dyDescent="0.2">
      <c r="A3" t="s">
        <v>195</v>
      </c>
    </row>
    <row r="4" spans="1:1" x14ac:dyDescent="0.2">
      <c r="A4" t="s">
        <v>196</v>
      </c>
    </row>
    <row r="6" spans="1:1" ht="19" x14ac:dyDescent="0.25">
      <c r="A6" s="5" t="s">
        <v>197</v>
      </c>
    </row>
    <row r="8" spans="1:1" x14ac:dyDescent="0.2">
      <c r="A8" t="s">
        <v>198</v>
      </c>
    </row>
    <row r="9" spans="1:1" x14ac:dyDescent="0.2">
      <c r="A9" t="s">
        <v>199</v>
      </c>
    </row>
    <row r="10" spans="1:1" x14ac:dyDescent="0.2">
      <c r="A10" t="s">
        <v>200</v>
      </c>
    </row>
    <row r="11" spans="1:1" x14ac:dyDescent="0.2">
      <c r="A11" t="s">
        <v>201</v>
      </c>
    </row>
    <row r="12" spans="1:1" x14ac:dyDescent="0.2">
      <c r="A12" t="s">
        <v>202</v>
      </c>
    </row>
    <row r="14" spans="1:1" ht="19" x14ac:dyDescent="0.25">
      <c r="A14" s="5" t="s">
        <v>203</v>
      </c>
    </row>
    <row r="16" spans="1:1" x14ac:dyDescent="0.2">
      <c r="A16" t="s">
        <v>204</v>
      </c>
    </row>
    <row r="17" spans="1:3" x14ac:dyDescent="0.2">
      <c r="A17" t="s">
        <v>205</v>
      </c>
    </row>
    <row r="18" spans="1:3" x14ac:dyDescent="0.2">
      <c r="A18" t="s">
        <v>206</v>
      </c>
    </row>
    <row r="19" spans="1:3" x14ac:dyDescent="0.2">
      <c r="A19" t="s">
        <v>12</v>
      </c>
    </row>
    <row r="20" spans="1:3" x14ac:dyDescent="0.2">
      <c r="A20" t="s">
        <v>207</v>
      </c>
    </row>
    <row r="22" spans="1:3" ht="19" x14ac:dyDescent="0.25">
      <c r="A22" s="5" t="s">
        <v>208</v>
      </c>
    </row>
    <row r="24" spans="1:3" x14ac:dyDescent="0.2">
      <c r="A24" s="6" t="s">
        <v>209</v>
      </c>
      <c r="B24" s="6" t="s">
        <v>210</v>
      </c>
      <c r="C24" s="6" t="s">
        <v>211</v>
      </c>
    </row>
    <row r="25" spans="1:3" x14ac:dyDescent="0.2">
      <c r="A25" s="7" t="s">
        <v>212</v>
      </c>
      <c r="B25" s="7" t="s">
        <v>213</v>
      </c>
      <c r="C25" s="7" t="s">
        <v>214</v>
      </c>
    </row>
    <row r="26" spans="1:3" x14ac:dyDescent="0.2">
      <c r="A26" s="7" t="s">
        <v>215</v>
      </c>
      <c r="B26" s="7" t="s">
        <v>216</v>
      </c>
      <c r="C26" s="7" t="s">
        <v>217</v>
      </c>
    </row>
    <row r="27" spans="1:3" x14ac:dyDescent="0.2">
      <c r="A27" s="7" t="s">
        <v>218</v>
      </c>
      <c r="B27" s="7" t="s">
        <v>219</v>
      </c>
      <c r="C27" s="7" t="s">
        <v>220</v>
      </c>
    </row>
    <row r="28" spans="1:3" x14ac:dyDescent="0.2">
      <c r="A28" s="7" t="s">
        <v>221</v>
      </c>
      <c r="B28" s="7" t="s">
        <v>222</v>
      </c>
      <c r="C28" s="7" t="s">
        <v>223</v>
      </c>
    </row>
    <row r="30" spans="1:3" ht="19" x14ac:dyDescent="0.25">
      <c r="A30" s="5" t="s">
        <v>224</v>
      </c>
    </row>
    <row r="32" spans="1:3" x14ac:dyDescent="0.2">
      <c r="A32" s="4" t="s">
        <v>225</v>
      </c>
    </row>
    <row r="33" spans="1:6" x14ac:dyDescent="0.2">
      <c r="A33" t="s">
        <v>226</v>
      </c>
    </row>
    <row r="35" spans="1:6" x14ac:dyDescent="0.2">
      <c r="A35" s="4" t="s">
        <v>227</v>
      </c>
    </row>
    <row r="36" spans="1:6" x14ac:dyDescent="0.2">
      <c r="A36" t="s">
        <v>228</v>
      </c>
    </row>
    <row r="37" spans="1:6" x14ac:dyDescent="0.2">
      <c r="A37" t="s">
        <v>229</v>
      </c>
    </row>
    <row r="38" spans="1:6" x14ac:dyDescent="0.2">
      <c r="A38" t="s">
        <v>230</v>
      </c>
    </row>
    <row r="39" spans="1:6" x14ac:dyDescent="0.2">
      <c r="A39" t="s">
        <v>231</v>
      </c>
    </row>
    <row r="40" spans="1:6" x14ac:dyDescent="0.2">
      <c r="A40" t="s">
        <v>232</v>
      </c>
    </row>
    <row r="42" spans="1:6" x14ac:dyDescent="0.2">
      <c r="A42" s="4" t="s">
        <v>233</v>
      </c>
    </row>
    <row r="43" spans="1:6" x14ac:dyDescent="0.2">
      <c r="A43" t="s">
        <v>234</v>
      </c>
    </row>
    <row r="45" spans="1:6" ht="19" x14ac:dyDescent="0.25">
      <c r="A45" s="5" t="s">
        <v>235</v>
      </c>
    </row>
    <row r="46" spans="1:6" x14ac:dyDescent="0.2">
      <c r="A46" t="s">
        <v>236</v>
      </c>
    </row>
    <row r="48" spans="1:6" x14ac:dyDescent="0.2">
      <c r="A48" s="6" t="s">
        <v>237</v>
      </c>
      <c r="B48" s="6" t="s">
        <v>124</v>
      </c>
      <c r="C48" s="6" t="s">
        <v>125</v>
      </c>
      <c r="D48" s="6" t="s">
        <v>16</v>
      </c>
      <c r="E48" s="6" t="s">
        <v>238</v>
      </c>
      <c r="F48" s="6" t="s">
        <v>126</v>
      </c>
    </row>
    <row r="49" spans="1:6" x14ac:dyDescent="0.2">
      <c r="A49" s="20">
        <v>45658</v>
      </c>
      <c r="B49" s="7" t="s">
        <v>127</v>
      </c>
      <c r="C49" s="7" t="s">
        <v>128</v>
      </c>
      <c r="D49" s="7" t="s">
        <v>20</v>
      </c>
      <c r="E49" s="7">
        <v>3</v>
      </c>
      <c r="F49" s="8">
        <v>2999.97</v>
      </c>
    </row>
    <row r="50" spans="1:6" x14ac:dyDescent="0.2">
      <c r="A50" s="20">
        <v>45658</v>
      </c>
      <c r="B50" s="7" t="s">
        <v>129</v>
      </c>
      <c r="C50" s="7" t="s">
        <v>130</v>
      </c>
      <c r="D50" s="7" t="s">
        <v>27</v>
      </c>
      <c r="E50" s="7">
        <v>5</v>
      </c>
      <c r="F50" s="8">
        <v>1745</v>
      </c>
    </row>
    <row r="51" spans="1:6" x14ac:dyDescent="0.2">
      <c r="A51" s="20">
        <v>45659</v>
      </c>
      <c r="B51" s="7" t="s">
        <v>131</v>
      </c>
      <c r="C51" s="7" t="s">
        <v>132</v>
      </c>
      <c r="D51" s="7" t="s">
        <v>29</v>
      </c>
      <c r="E51" s="7">
        <v>10</v>
      </c>
      <c r="F51" s="8">
        <v>799.9</v>
      </c>
    </row>
    <row r="52" spans="1:6" x14ac:dyDescent="0.2">
      <c r="A52" s="20">
        <v>45659</v>
      </c>
      <c r="B52" s="7" t="s">
        <v>133</v>
      </c>
      <c r="C52" s="7" t="s">
        <v>134</v>
      </c>
      <c r="D52" s="7" t="s">
        <v>24</v>
      </c>
      <c r="E52" s="7">
        <v>15</v>
      </c>
      <c r="F52" s="8">
        <v>449.85</v>
      </c>
    </row>
    <row r="53" spans="1:6" x14ac:dyDescent="0.2">
      <c r="A53" s="20">
        <v>45660</v>
      </c>
      <c r="B53" s="7" t="s">
        <v>127</v>
      </c>
      <c r="C53" s="7" t="s">
        <v>128</v>
      </c>
      <c r="D53" s="7" t="s">
        <v>27</v>
      </c>
      <c r="E53" s="7">
        <v>4</v>
      </c>
      <c r="F53" s="8">
        <v>1396</v>
      </c>
    </row>
    <row r="54" spans="1:6" x14ac:dyDescent="0.2">
      <c r="A54" s="20">
        <v>45660</v>
      </c>
      <c r="B54" s="7" t="s">
        <v>129</v>
      </c>
      <c r="C54" s="7" t="s">
        <v>130</v>
      </c>
      <c r="D54" s="7" t="s">
        <v>20</v>
      </c>
      <c r="E54" s="7">
        <v>2</v>
      </c>
      <c r="F54" s="8">
        <v>1999.98</v>
      </c>
    </row>
    <row r="55" spans="1:6" x14ac:dyDescent="0.2">
      <c r="A55" s="20">
        <v>45661</v>
      </c>
      <c r="B55" s="7" t="s">
        <v>131</v>
      </c>
      <c r="C55" s="7" t="s">
        <v>132</v>
      </c>
      <c r="D55" s="7" t="s">
        <v>24</v>
      </c>
      <c r="E55" s="7">
        <v>20</v>
      </c>
      <c r="F55" s="8">
        <v>599.79999999999995</v>
      </c>
    </row>
    <row r="56" spans="1:6" x14ac:dyDescent="0.2">
      <c r="A56" s="20">
        <v>45661</v>
      </c>
      <c r="B56" s="7" t="s">
        <v>133</v>
      </c>
      <c r="C56" s="7" t="s">
        <v>134</v>
      </c>
      <c r="D56" s="7" t="s">
        <v>29</v>
      </c>
      <c r="E56" s="7">
        <v>8</v>
      </c>
      <c r="F56" s="8">
        <v>639.91999999999996</v>
      </c>
    </row>
    <row r="57" spans="1:6" x14ac:dyDescent="0.2">
      <c r="A57" s="20">
        <v>45662</v>
      </c>
      <c r="B57" s="7" t="s">
        <v>127</v>
      </c>
      <c r="C57" s="7" t="s">
        <v>135</v>
      </c>
      <c r="D57" s="7" t="s">
        <v>20</v>
      </c>
      <c r="E57" s="7">
        <v>5</v>
      </c>
      <c r="F57" s="8">
        <v>4999.95</v>
      </c>
    </row>
    <row r="58" spans="1:6" x14ac:dyDescent="0.2">
      <c r="A58" s="20">
        <v>45662</v>
      </c>
      <c r="B58" s="7" t="s">
        <v>129</v>
      </c>
      <c r="C58" s="7" t="s">
        <v>136</v>
      </c>
      <c r="D58" s="7" t="s">
        <v>27</v>
      </c>
      <c r="E58" s="7">
        <v>6</v>
      </c>
      <c r="F58" s="8">
        <v>2094</v>
      </c>
    </row>
    <row r="59" spans="1:6" x14ac:dyDescent="0.2">
      <c r="A59" s="20">
        <v>45663</v>
      </c>
      <c r="B59" s="7" t="s">
        <v>131</v>
      </c>
      <c r="C59" s="7" t="s">
        <v>132</v>
      </c>
      <c r="D59" s="7" t="s">
        <v>20</v>
      </c>
      <c r="E59" s="7">
        <v>4</v>
      </c>
      <c r="F59" s="8">
        <v>3999.96</v>
      </c>
    </row>
    <row r="60" spans="1:6" x14ac:dyDescent="0.2">
      <c r="A60" s="20">
        <v>45663</v>
      </c>
      <c r="B60" s="7" t="s">
        <v>133</v>
      </c>
      <c r="C60" s="7" t="s">
        <v>134</v>
      </c>
      <c r="D60" s="7" t="s">
        <v>27</v>
      </c>
      <c r="E60" s="7">
        <v>7</v>
      </c>
      <c r="F60" s="8">
        <v>2443</v>
      </c>
    </row>
    <row r="61" spans="1:6" x14ac:dyDescent="0.2">
      <c r="A61" s="20">
        <v>45664</v>
      </c>
      <c r="B61" s="7" t="s">
        <v>127</v>
      </c>
      <c r="C61" s="7" t="s">
        <v>128</v>
      </c>
      <c r="D61" s="7" t="s">
        <v>29</v>
      </c>
      <c r="E61" s="7">
        <v>12</v>
      </c>
      <c r="F61" s="8">
        <v>959.88</v>
      </c>
    </row>
    <row r="62" spans="1:6" x14ac:dyDescent="0.2">
      <c r="A62" s="20">
        <v>45664</v>
      </c>
      <c r="B62" s="7" t="s">
        <v>129</v>
      </c>
      <c r="C62" s="7" t="s">
        <v>130</v>
      </c>
      <c r="D62" s="7" t="s">
        <v>24</v>
      </c>
      <c r="E62" s="7">
        <v>25</v>
      </c>
      <c r="F62" s="8">
        <v>749.75</v>
      </c>
    </row>
    <row r="63" spans="1:6" x14ac:dyDescent="0.2">
      <c r="A63" s="20">
        <v>45665</v>
      </c>
      <c r="B63" s="7" t="s">
        <v>131</v>
      </c>
      <c r="C63" s="7" t="s">
        <v>135</v>
      </c>
      <c r="D63" s="7" t="s">
        <v>27</v>
      </c>
      <c r="E63" s="7">
        <v>3</v>
      </c>
      <c r="F63" s="8">
        <v>1047</v>
      </c>
    </row>
    <row r="65" spans="1:1" x14ac:dyDescent="0.2">
      <c r="A65" s="21" t="s">
        <v>239</v>
      </c>
    </row>
    <row r="67" spans="1:1" x14ac:dyDescent="0.2">
      <c r="A67" t="s">
        <v>240</v>
      </c>
    </row>
    <row r="68" spans="1:1" x14ac:dyDescent="0.2">
      <c r="A68" t="s">
        <v>241</v>
      </c>
    </row>
    <row r="69" spans="1:1" x14ac:dyDescent="0.2">
      <c r="A69" t="s">
        <v>242</v>
      </c>
    </row>
    <row r="70" spans="1:1" x14ac:dyDescent="0.2">
      <c r="A70" t="s">
        <v>243</v>
      </c>
    </row>
    <row r="71" spans="1:1" x14ac:dyDescent="0.2">
      <c r="A71" t="s">
        <v>244</v>
      </c>
    </row>
    <row r="72" spans="1:1" x14ac:dyDescent="0.2">
      <c r="A72" t="s">
        <v>245</v>
      </c>
    </row>
    <row r="73" spans="1:1" x14ac:dyDescent="0.2">
      <c r="A73" t="s">
        <v>246</v>
      </c>
    </row>
    <row r="75" spans="1:1" ht="19" x14ac:dyDescent="0.25">
      <c r="A75" s="5" t="s">
        <v>247</v>
      </c>
    </row>
    <row r="77" spans="1:1" x14ac:dyDescent="0.2">
      <c r="A77" t="s">
        <v>248</v>
      </c>
    </row>
    <row r="78" spans="1:1" x14ac:dyDescent="0.2">
      <c r="A78" t="s">
        <v>249</v>
      </c>
    </row>
    <row r="79" spans="1:1" x14ac:dyDescent="0.2">
      <c r="A79" t="s">
        <v>250</v>
      </c>
    </row>
    <row r="80" spans="1:1" x14ac:dyDescent="0.2">
      <c r="A80" t="s">
        <v>251</v>
      </c>
    </row>
    <row r="81" spans="1:1" x14ac:dyDescent="0.2">
      <c r="A81" t="s">
        <v>252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479DA-4BDD-2340-817C-69E13EF9E776}">
  <dimension ref="A1:E84"/>
  <sheetViews>
    <sheetView topLeftCell="A15" workbookViewId="0"/>
  </sheetViews>
  <sheetFormatPr baseColWidth="10" defaultRowHeight="16" x14ac:dyDescent="0.2"/>
  <cols>
    <col min="1" max="2" width="33.33203125" customWidth="1"/>
    <col min="3" max="5" width="16.6640625" customWidth="1"/>
  </cols>
  <sheetData>
    <row r="1" spans="1:5" ht="24" x14ac:dyDescent="0.3">
      <c r="A1" s="1" t="s">
        <v>253</v>
      </c>
    </row>
    <row r="3" spans="1:5" x14ac:dyDescent="0.2">
      <c r="A3" t="s">
        <v>254</v>
      </c>
    </row>
    <row r="5" spans="1:5" ht="19" x14ac:dyDescent="0.25">
      <c r="A5" s="5" t="s">
        <v>255</v>
      </c>
    </row>
    <row r="7" spans="1:5" x14ac:dyDescent="0.2">
      <c r="A7" s="6" t="s">
        <v>256</v>
      </c>
      <c r="B7" s="6" t="s">
        <v>257</v>
      </c>
      <c r="C7" s="6" t="s">
        <v>258</v>
      </c>
      <c r="D7" s="6" t="s">
        <v>259</v>
      </c>
      <c r="E7" s="6" t="s">
        <v>260</v>
      </c>
    </row>
    <row r="8" spans="1:5" x14ac:dyDescent="0.2">
      <c r="A8" s="7" t="s">
        <v>261</v>
      </c>
      <c r="B8" s="7" t="s">
        <v>124</v>
      </c>
      <c r="C8" s="7" t="s">
        <v>262</v>
      </c>
      <c r="D8" s="7" t="s">
        <v>126</v>
      </c>
      <c r="E8" s="7" t="s">
        <v>263</v>
      </c>
    </row>
    <row r="9" spans="1:5" x14ac:dyDescent="0.2">
      <c r="A9" s="7" t="s">
        <v>264</v>
      </c>
      <c r="B9" s="7" t="s">
        <v>265</v>
      </c>
      <c r="C9" s="7" t="s">
        <v>262</v>
      </c>
      <c r="D9" s="7" t="s">
        <v>126</v>
      </c>
      <c r="E9" s="7" t="s">
        <v>263</v>
      </c>
    </row>
    <row r="10" spans="1:5" x14ac:dyDescent="0.2">
      <c r="A10" s="7" t="s">
        <v>266</v>
      </c>
      <c r="B10" s="7" t="s">
        <v>16</v>
      </c>
      <c r="C10" s="7" t="s">
        <v>124</v>
      </c>
      <c r="D10" s="7" t="s">
        <v>238</v>
      </c>
      <c r="E10" s="7" t="s">
        <v>263</v>
      </c>
    </row>
    <row r="11" spans="1:5" x14ac:dyDescent="0.2">
      <c r="A11" s="7" t="s">
        <v>267</v>
      </c>
      <c r="B11" s="7" t="s">
        <v>125</v>
      </c>
      <c r="C11" s="7" t="s">
        <v>262</v>
      </c>
      <c r="D11" s="7" t="s">
        <v>126</v>
      </c>
      <c r="E11" s="7" t="s">
        <v>268</v>
      </c>
    </row>
    <row r="12" spans="1:5" x14ac:dyDescent="0.2">
      <c r="A12" s="7" t="s">
        <v>269</v>
      </c>
      <c r="B12" s="7" t="s">
        <v>16</v>
      </c>
      <c r="C12" s="7" t="s">
        <v>262</v>
      </c>
      <c r="D12" s="7" t="s">
        <v>126</v>
      </c>
      <c r="E12" s="7" t="s">
        <v>270</v>
      </c>
    </row>
    <row r="13" spans="1:5" x14ac:dyDescent="0.2">
      <c r="A13" s="7" t="s">
        <v>271</v>
      </c>
      <c r="B13" s="7" t="s">
        <v>124</v>
      </c>
      <c r="C13" s="7" t="s">
        <v>16</v>
      </c>
      <c r="D13" s="7" t="s">
        <v>15</v>
      </c>
      <c r="E13" s="7" t="s">
        <v>272</v>
      </c>
    </row>
    <row r="15" spans="1:5" ht="19" x14ac:dyDescent="0.25">
      <c r="A15" s="5" t="s">
        <v>273</v>
      </c>
    </row>
    <row r="17" spans="1:1" x14ac:dyDescent="0.2">
      <c r="A17" s="4" t="s">
        <v>274</v>
      </c>
    </row>
    <row r="18" spans="1:1" x14ac:dyDescent="0.2">
      <c r="A18" t="s">
        <v>275</v>
      </c>
    </row>
    <row r="19" spans="1:1" x14ac:dyDescent="0.2">
      <c r="A19" t="s">
        <v>276</v>
      </c>
    </row>
    <row r="20" spans="1:1" x14ac:dyDescent="0.2">
      <c r="A20" t="s">
        <v>277</v>
      </c>
    </row>
    <row r="22" spans="1:1" x14ac:dyDescent="0.2">
      <c r="A22" s="4" t="s">
        <v>278</v>
      </c>
    </row>
    <row r="23" spans="1:1" x14ac:dyDescent="0.2">
      <c r="A23" t="s">
        <v>279</v>
      </c>
    </row>
    <row r="24" spans="1:1" x14ac:dyDescent="0.2">
      <c r="A24" t="s">
        <v>276</v>
      </c>
    </row>
    <row r="25" spans="1:1" x14ac:dyDescent="0.2">
      <c r="A25" t="s">
        <v>280</v>
      </c>
    </row>
    <row r="26" spans="1:1" x14ac:dyDescent="0.2">
      <c r="A26" t="s">
        <v>281</v>
      </c>
    </row>
    <row r="28" spans="1:1" ht="19" x14ac:dyDescent="0.25">
      <c r="A28" s="5" t="s">
        <v>282</v>
      </c>
    </row>
    <row r="30" spans="1:1" x14ac:dyDescent="0.2">
      <c r="A30" t="s">
        <v>283</v>
      </c>
    </row>
    <row r="31" spans="1:1" x14ac:dyDescent="0.2">
      <c r="A31" t="s">
        <v>284</v>
      </c>
    </row>
    <row r="32" spans="1:1" x14ac:dyDescent="0.2">
      <c r="A32" t="s">
        <v>285</v>
      </c>
    </row>
    <row r="33" spans="1:1" x14ac:dyDescent="0.2">
      <c r="A33" t="s">
        <v>286</v>
      </c>
    </row>
    <row r="34" spans="1:1" x14ac:dyDescent="0.2">
      <c r="A34" t="s">
        <v>287</v>
      </c>
    </row>
    <row r="36" spans="1:1" ht="19" x14ac:dyDescent="0.25">
      <c r="A36" s="5" t="s">
        <v>288</v>
      </c>
    </row>
    <row r="38" spans="1:1" x14ac:dyDescent="0.2">
      <c r="A38" t="s">
        <v>289</v>
      </c>
    </row>
    <row r="39" spans="1:1" x14ac:dyDescent="0.2">
      <c r="A39" t="s">
        <v>284</v>
      </c>
    </row>
    <row r="40" spans="1:1" x14ac:dyDescent="0.2">
      <c r="A40" t="s">
        <v>290</v>
      </c>
    </row>
    <row r="41" spans="1:1" x14ac:dyDescent="0.2">
      <c r="A41" t="s">
        <v>291</v>
      </c>
    </row>
    <row r="42" spans="1:1" x14ac:dyDescent="0.2">
      <c r="A42" t="s">
        <v>292</v>
      </c>
    </row>
    <row r="44" spans="1:1" x14ac:dyDescent="0.2">
      <c r="A44" t="s">
        <v>293</v>
      </c>
    </row>
    <row r="45" spans="1:1" x14ac:dyDescent="0.2">
      <c r="A45" t="s">
        <v>294</v>
      </c>
    </row>
    <row r="46" spans="1:1" x14ac:dyDescent="0.2">
      <c r="A46" t="s">
        <v>295</v>
      </c>
    </row>
    <row r="47" spans="1:1" x14ac:dyDescent="0.2">
      <c r="A47" t="s">
        <v>296</v>
      </c>
    </row>
    <row r="49" spans="1:1" ht="19" x14ac:dyDescent="0.25">
      <c r="A49" s="5" t="s">
        <v>297</v>
      </c>
    </row>
    <row r="51" spans="1:1" x14ac:dyDescent="0.2">
      <c r="A51" t="s">
        <v>298</v>
      </c>
    </row>
    <row r="52" spans="1:1" x14ac:dyDescent="0.2">
      <c r="A52" t="s">
        <v>299</v>
      </c>
    </row>
    <row r="53" spans="1:1" x14ac:dyDescent="0.2">
      <c r="A53" t="s">
        <v>300</v>
      </c>
    </row>
    <row r="54" spans="1:1" x14ac:dyDescent="0.2">
      <c r="A54" t="s">
        <v>301</v>
      </c>
    </row>
    <row r="56" spans="1:1" x14ac:dyDescent="0.2">
      <c r="A56" s="4" t="s">
        <v>302</v>
      </c>
    </row>
    <row r="57" spans="1:1" x14ac:dyDescent="0.2">
      <c r="A57" t="s">
        <v>303</v>
      </c>
    </row>
    <row r="58" spans="1:1" x14ac:dyDescent="0.2">
      <c r="A58" t="s">
        <v>304</v>
      </c>
    </row>
    <row r="60" spans="1:1" ht="19" x14ac:dyDescent="0.25">
      <c r="A60" s="5" t="s">
        <v>305</v>
      </c>
    </row>
    <row r="62" spans="1:1" x14ac:dyDescent="0.2">
      <c r="A62" s="4" t="s">
        <v>306</v>
      </c>
    </row>
    <row r="63" spans="1:1" x14ac:dyDescent="0.2">
      <c r="A63" t="s">
        <v>307</v>
      </c>
    </row>
    <row r="65" spans="1:2" x14ac:dyDescent="0.2">
      <c r="A65" s="4" t="s">
        <v>308</v>
      </c>
    </row>
    <row r="66" spans="1:2" x14ac:dyDescent="0.2">
      <c r="A66" t="s">
        <v>309</v>
      </c>
    </row>
    <row r="68" spans="1:2" x14ac:dyDescent="0.2">
      <c r="A68" s="4" t="s">
        <v>310</v>
      </c>
    </row>
    <row r="69" spans="1:2" x14ac:dyDescent="0.2">
      <c r="A69" t="s">
        <v>311</v>
      </c>
    </row>
    <row r="71" spans="1:2" x14ac:dyDescent="0.2">
      <c r="A71" s="4" t="s">
        <v>312</v>
      </c>
    </row>
    <row r="72" spans="1:2" x14ac:dyDescent="0.2">
      <c r="A72" t="s">
        <v>313</v>
      </c>
    </row>
    <row r="74" spans="1:2" x14ac:dyDescent="0.2">
      <c r="A74" s="4" t="s">
        <v>314</v>
      </c>
    </row>
    <row r="75" spans="1:2" x14ac:dyDescent="0.2">
      <c r="A75" t="s">
        <v>315</v>
      </c>
    </row>
    <row r="77" spans="1:2" ht="19" x14ac:dyDescent="0.25">
      <c r="A77" s="5" t="s">
        <v>316</v>
      </c>
    </row>
    <row r="79" spans="1:2" x14ac:dyDescent="0.2">
      <c r="A79" s="6" t="s">
        <v>317</v>
      </c>
      <c r="B79" s="6" t="s">
        <v>318</v>
      </c>
    </row>
    <row r="80" spans="1:2" x14ac:dyDescent="0.2">
      <c r="A80" s="7" t="s">
        <v>319</v>
      </c>
      <c r="B80" s="7" t="s">
        <v>320</v>
      </c>
    </row>
    <row r="81" spans="1:2" x14ac:dyDescent="0.2">
      <c r="A81" s="7" t="s">
        <v>321</v>
      </c>
      <c r="B81" s="7" t="s">
        <v>322</v>
      </c>
    </row>
    <row r="82" spans="1:2" x14ac:dyDescent="0.2">
      <c r="A82" s="7" t="s">
        <v>323</v>
      </c>
      <c r="B82" s="7" t="s">
        <v>324</v>
      </c>
    </row>
    <row r="83" spans="1:2" x14ac:dyDescent="0.2">
      <c r="A83" s="7" t="s">
        <v>325</v>
      </c>
      <c r="B83" s="7" t="s">
        <v>326</v>
      </c>
    </row>
    <row r="84" spans="1:2" x14ac:dyDescent="0.2">
      <c r="A84" s="7" t="s">
        <v>327</v>
      </c>
      <c r="B84" s="7" t="s">
        <v>328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9EFC9237BF9D4AB3095FB1A31F0CFC" ma:contentTypeVersion="3" ma:contentTypeDescription="Create a new document." ma:contentTypeScope="" ma:versionID="8304132cec568ff9dcc0677502bf54ef">
  <xsd:schema xmlns:xsd="http://www.w3.org/2001/XMLSchema" xmlns:xs="http://www.w3.org/2001/XMLSchema" xmlns:p="http://schemas.microsoft.com/office/2006/metadata/properties" xmlns:ns2="5f4314f0-7ba4-4275-bb1b-5f91ce8d9368" targetNamespace="http://schemas.microsoft.com/office/2006/metadata/properties" ma:root="true" ma:fieldsID="5c53a88a31eca6a35dd61bc5ce3b26a3" ns2:_="">
    <xsd:import namespace="5f4314f0-7ba4-4275-bb1b-5f91ce8d936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4314f0-7ba4-4275-bb1b-5f91ce8d936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E76453F-E74E-49CB-B2ED-8F9863494F03}"/>
</file>

<file path=customXml/itemProps2.xml><?xml version="1.0" encoding="utf-8"?>
<ds:datastoreItem xmlns:ds="http://schemas.openxmlformats.org/officeDocument/2006/customXml" ds:itemID="{1CC24155-13BE-4281-98EB-C53656E5860A}"/>
</file>

<file path=customXml/itemProps3.xml><?xml version="1.0" encoding="utf-8"?>
<ds:datastoreItem xmlns:ds="http://schemas.openxmlformats.org/officeDocument/2006/customXml" ds:itemID="{46CDD4D9-3D94-421E-A47F-DE5D5444705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1. Intro to Tables</vt:lpstr>
      <vt:lpstr>2. Table Features</vt:lpstr>
      <vt:lpstr>3. Filters &amp; SUBTOTAL</vt:lpstr>
      <vt:lpstr>4. FILTER Function</vt:lpstr>
      <vt:lpstr>5. PivotTable Basics</vt:lpstr>
      <vt:lpstr>6. PivotTable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Jasser Jasser</dc:creator>
  <cp:lastModifiedBy>Jasser Jasser</cp:lastModifiedBy>
  <dcterms:created xsi:type="dcterms:W3CDTF">2026-05-18T16:43:44Z</dcterms:created>
  <dcterms:modified xsi:type="dcterms:W3CDTF">2026-05-18T17:19:21Z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0x0101004A9EFC9237BF9D4AB3095FB1A31F0CFC</vt:lpwstr>
  </property>
</Properties>
</file>