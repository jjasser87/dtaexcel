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MT_Analysis" sheetId="2" state="visible" r:id="rId2"/>
    <sheet name="RATE_Analysis" sheetId="3" state="visible" r:id="rId3"/>
    <sheet name="NPER_Analysis" sheetId="4" state="visible" r:id="rId4"/>
    <sheet name="CUM_Fun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00%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F3F00"/>
      <sz val="10"/>
    </font>
    <font>
      <name val="Calibri"/>
      <b val="1"/>
      <color rgb="00375623"/>
      <sz val="10"/>
    </font>
    <font>
      <name val="Calibri"/>
      <i val="1"/>
      <color rgb="00595959"/>
      <sz val="9"/>
    </font>
    <font>
      <name val="Calibri"/>
      <color rgb="007F3F00"/>
      <sz val="11"/>
    </font>
    <font>
      <name val="Calibri"/>
      <b val="1"/>
      <color rgb="00375623"/>
      <sz val="11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10" fontId="9" fillId="4" borderId="1" applyAlignment="1" pivotButton="0" quotePrefix="0" xfId="0">
      <alignment horizontal="center" vertical="center" wrapText="1"/>
    </xf>
    <xf numFmtId="1" fontId="9" fillId="4" borderId="1" applyAlignment="1" pivotButton="0" quotePrefix="0" xfId="0">
      <alignment horizontal="center" vertical="center" wrapText="1"/>
    </xf>
    <xf numFmtId="1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1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0" customWidth="1" min="3" max="3"/>
    <col width="5" customWidth="1" min="4" max="4"/>
  </cols>
  <sheetData>
    <row r="1" ht="30" customHeight="1">
      <c r="A1" s="1" t="inlineStr">
        <is>
          <t>rFLA300 — Chapter 11: Financial Models</t>
        </is>
      </c>
    </row>
    <row r="2" ht="18" customHeight="1">
      <c r="B2" s="2" t="inlineStr">
        <is>
          <t>Loan Analysis — PMT, RATE, NPER, CUMIPMT, CUMPRINC</t>
        </is>
      </c>
    </row>
    <row r="4" ht="20" customHeight="1">
      <c r="A4" s="3" t="inlineStr">
        <is>
          <t>📋  File Contents</t>
        </is>
      </c>
    </row>
    <row r="5">
      <c r="B5" s="4" t="inlineStr">
        <is>
          <t>Sheet</t>
        </is>
      </c>
      <c r="C5" s="4" t="inlineStr">
        <is>
          <t>Purpose</t>
        </is>
      </c>
    </row>
    <row r="6">
      <c r="B6" s="5" t="inlineStr">
        <is>
          <t>Instructions</t>
        </is>
      </c>
      <c r="C6" s="5" t="inlineStr">
        <is>
          <t>Overview of file purpose and color key</t>
        </is>
      </c>
    </row>
    <row r="7">
      <c r="B7" s="5" t="inlineStr">
        <is>
          <t>PMT_Analysis</t>
        </is>
      </c>
      <c r="C7" s="5" t="inlineStr">
        <is>
          <t>Calculate monthly loan payments using PMT</t>
        </is>
      </c>
    </row>
    <row r="8">
      <c r="B8" s="5" t="inlineStr">
        <is>
          <t>RATE_Analysis</t>
        </is>
      </c>
      <c r="C8" s="5" t="inlineStr">
        <is>
          <t>Find the interest rate given payment details using RATE</t>
        </is>
      </c>
    </row>
    <row r="9">
      <c r="B9" s="5" t="inlineStr">
        <is>
          <t>NPER_Analysis</t>
        </is>
      </c>
      <c r="C9" s="5" t="inlineStr">
        <is>
          <t>Find the number of payments needed using NPER</t>
        </is>
      </c>
    </row>
    <row r="10">
      <c r="B10" s="5" t="inlineStr">
        <is>
          <t>CUM_Functions</t>
        </is>
      </c>
      <c r="C10" s="5" t="inlineStr">
        <is>
          <t>Calculate cumulative interest &amp; principal using CUMIPMT and CUMPRINC</t>
        </is>
      </c>
    </row>
    <row r="13" ht="20" customHeight="1">
      <c r="A13" s="3" t="inlineStr">
        <is>
          <t>🎨  Color Key</t>
        </is>
      </c>
    </row>
    <row r="14">
      <c r="B14" s="6" t="inlineStr">
        <is>
          <t xml:space="preserve">   Sample</t>
        </is>
      </c>
      <c r="C14" s="7" t="inlineStr">
        <is>
          <t>Input / Assumption cells — enter your values here</t>
        </is>
      </c>
    </row>
    <row r="15">
      <c r="B15" s="8" t="inlineStr">
        <is>
          <t xml:space="preserve">   Sample</t>
        </is>
      </c>
      <c r="C15" s="7" t="inlineStr">
        <is>
          <t>Result cells — calculated by Excel formulas</t>
        </is>
      </c>
    </row>
    <row r="16">
      <c r="B16" s="9" t="inlineStr">
        <is>
          <t xml:space="preserve">   Sample</t>
        </is>
      </c>
      <c r="C16" s="7" t="inlineStr">
        <is>
          <t>Labels — descriptions of each row</t>
        </is>
      </c>
    </row>
    <row r="17">
      <c r="B17" s="10" t="inlineStr">
        <is>
          <t xml:space="preserve">   Sample</t>
        </is>
      </c>
      <c r="C17" s="7" t="inlineStr">
        <is>
          <t>Section headers</t>
        </is>
      </c>
    </row>
  </sheetData>
  <mergeCells count="4">
    <mergeCell ref="A1:D1"/>
    <mergeCell ref="A4:D4"/>
    <mergeCell ref="B2:C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5" customWidth="1" min="5" max="5"/>
  </cols>
  <sheetData>
    <row r="1" ht="30" customHeight="1">
      <c r="A1" s="1" t="inlineStr">
        <is>
          <t>PMT — Calculate Your Monthly Loan Payment</t>
        </is>
      </c>
    </row>
    <row r="2">
      <c r="B2" s="11" t="inlineStr">
        <is>
          <t>Scenario: You are buying a car and need to know your monthly payment.</t>
        </is>
      </c>
    </row>
    <row r="4" ht="20" customHeight="1">
      <c r="A4" s="3" t="inlineStr">
        <is>
          <t>📥  Loan Inputs</t>
        </is>
      </c>
    </row>
    <row r="5" ht="18" customHeight="1">
      <c r="B5" s="12" t="inlineStr">
        <is>
          <t>Loan Amount (Principal)</t>
        </is>
      </c>
      <c r="C5" s="13" t="n">
        <v>200000</v>
      </c>
    </row>
    <row r="6" ht="18" customHeight="1">
      <c r="B6" s="12" t="inlineStr">
        <is>
          <t>Annual Interest Rate</t>
        </is>
      </c>
      <c r="C6" s="14" t="n">
        <v>0.065</v>
      </c>
    </row>
    <row r="7" ht="18" customHeight="1">
      <c r="B7" s="12" t="inlineStr">
        <is>
          <t>Loan Term (Years)</t>
        </is>
      </c>
      <c r="C7" s="15" t="n">
        <v>30</v>
      </c>
    </row>
    <row r="8" ht="18" customHeight="1">
      <c r="B8" s="12" t="inlineStr">
        <is>
          <t>Payments Per Year</t>
        </is>
      </c>
      <c r="C8" s="15" t="n">
        <v>12</v>
      </c>
    </row>
    <row r="9" ht="18" customHeight="1">
      <c r="B9" s="12" t="inlineStr">
        <is>
          <t>Loan Start (Payment Type)</t>
        </is>
      </c>
      <c r="C9" s="15" t="n">
        <v>0</v>
      </c>
    </row>
    <row r="10">
      <c r="B10" s="11" t="inlineStr">
        <is>
          <t>Payment Type: 0 = end of period (most common),  1 = beginning of period</t>
        </is>
      </c>
    </row>
    <row r="12" ht="20" customHeight="1">
      <c r="A12" s="3" t="inlineStr">
        <is>
          <t>📤  Calculated Results</t>
        </is>
      </c>
    </row>
    <row r="13">
      <c r="B13" s="12" t="inlineStr">
        <is>
          <t>Periods (months) = Years × Payments/Year</t>
        </is>
      </c>
      <c r="C13" s="16">
        <f>C7*C8</f>
        <v/>
      </c>
    </row>
    <row r="14">
      <c r="B14" s="12" t="inlineStr">
        <is>
          <t>Periodic Rate = Annual Rate ÷ Payments/Year</t>
        </is>
      </c>
      <c r="C14" s="17">
        <f>C6/C8</f>
        <v/>
      </c>
    </row>
    <row r="15">
      <c r="B15" s="12" t="inlineStr">
        <is>
          <t>Monthly Payment  [=PMT(rate, nper, pv, fv, type)]</t>
        </is>
      </c>
      <c r="C15" s="18">
        <f>PMT(C14,C13,-C5,0,C9)</f>
        <v/>
      </c>
    </row>
    <row r="16">
      <c r="B16" s="12" t="inlineStr">
        <is>
          <t>Total Amount Paid</t>
        </is>
      </c>
      <c r="C16" s="18">
        <f>C13*C15</f>
        <v/>
      </c>
    </row>
    <row r="17">
      <c r="B17" s="12" t="inlineStr">
        <is>
          <t>Total Interest Paid</t>
        </is>
      </c>
      <c r="C17" s="18">
        <f>C16-C5</f>
        <v/>
      </c>
    </row>
    <row r="19" ht="20" customHeight="1">
      <c r="A19" s="3" t="inlineStr">
        <is>
          <t>💡  Formula Explained</t>
        </is>
      </c>
    </row>
    <row r="20" ht="16" customHeight="1">
      <c r="B20" s="19" t="inlineStr">
        <is>
          <t xml:space="preserve"> =PMT(rate, nper, pv, [fv], [type])</t>
        </is>
      </c>
      <c r="C20" s="5" t="inlineStr"/>
    </row>
    <row r="21" ht="16" customHeight="1">
      <c r="B21" s="19" t="inlineStr">
        <is>
          <t>rate</t>
        </is>
      </c>
      <c r="C21" s="5" t="inlineStr">
        <is>
          <t>The interest rate per period (annual rate ÷ periods per year)</t>
        </is>
      </c>
    </row>
    <row r="22" ht="16" customHeight="1">
      <c r="B22" s="19" t="inlineStr">
        <is>
          <t>nper</t>
        </is>
      </c>
      <c r="C22" s="5" t="inlineStr">
        <is>
          <t>Total number of payment periods (years × payments per year)</t>
        </is>
      </c>
    </row>
    <row r="23" ht="16" customHeight="1">
      <c r="B23" s="19" t="inlineStr">
        <is>
          <t>pv</t>
        </is>
      </c>
      <c r="C23" s="5" t="inlineStr">
        <is>
          <t>Present value — the loan amount entered as a NEGATIVE number</t>
        </is>
      </c>
    </row>
    <row r="24" ht="16" customHeight="1">
      <c r="B24" s="19" t="inlineStr">
        <is>
          <t>fv</t>
        </is>
      </c>
      <c r="C24" s="5" t="inlineStr">
        <is>
          <t>Future value after last payment (usually 0 — loan is paid off)</t>
        </is>
      </c>
    </row>
    <row r="25" ht="16" customHeight="1">
      <c r="B25" s="19" t="inlineStr">
        <is>
          <t>type</t>
        </is>
      </c>
      <c r="C25" s="5" t="inlineStr">
        <is>
          <t>0 = payment at end of period, 1 = payment at beginning</t>
        </is>
      </c>
    </row>
    <row r="27" ht="20" customHeight="1">
      <c r="A27" s="3" t="inlineStr">
        <is>
          <t>✏️  Practice Tasks</t>
        </is>
      </c>
    </row>
    <row r="28" ht="18" customHeight="1">
      <c r="B28" s="7" t="inlineStr">
        <is>
          <t>1.  Change the loan amount to $250,000. How does the monthly payment change?</t>
        </is>
      </c>
    </row>
    <row r="29" ht="18" customHeight="1">
      <c r="B29" s="7" t="inlineStr">
        <is>
          <t>2.  Change the loan term to 15 years. Compare total interest paid vs 30 years.</t>
        </is>
      </c>
    </row>
    <row r="30" ht="18" customHeight="1">
      <c r="B30" s="7" t="inlineStr">
        <is>
          <t>3.  Change the rate to 7.5%. Recalculate and note the impact.</t>
        </is>
      </c>
    </row>
    <row r="31" ht="18" customHeight="1">
      <c r="B31" s="7" t="inlineStr">
        <is>
          <t>4.  Set Payment Type to 1 (beginning of period). Does the payment go up or down? Why?</t>
        </is>
      </c>
    </row>
  </sheetData>
  <mergeCells count="17">
    <mergeCell ref="B10:D10"/>
    <mergeCell ref="C20:D20"/>
    <mergeCell ref="B28:D28"/>
    <mergeCell ref="A12:E12"/>
    <mergeCell ref="A4:E4"/>
    <mergeCell ref="C21:D21"/>
    <mergeCell ref="C24:D24"/>
    <mergeCell ref="B31:D31"/>
    <mergeCell ref="C25:D25"/>
    <mergeCell ref="A19:E19"/>
    <mergeCell ref="A1:E1"/>
    <mergeCell ref="C22:D22"/>
    <mergeCell ref="B30:D30"/>
    <mergeCell ref="B29:D29"/>
    <mergeCell ref="C23:D23"/>
    <mergeCell ref="B2:D2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5" customWidth="1" min="5" max="5"/>
  </cols>
  <sheetData>
    <row r="1" ht="30" customHeight="1">
      <c r="A1" s="1" t="inlineStr">
        <is>
          <t>RATE — Find the Interest Rate on a Loan</t>
        </is>
      </c>
    </row>
    <row r="2">
      <c r="B2" s="11" t="inlineStr">
        <is>
          <t>Scenario: A dealer offers a car for $25,000 with $499/month payments over 60 months. What is the actual annual rate?</t>
        </is>
      </c>
    </row>
    <row r="4" ht="20" customHeight="1">
      <c r="A4" s="3" t="inlineStr">
        <is>
          <t>📥  Known Loan Details</t>
        </is>
      </c>
    </row>
    <row r="5">
      <c r="B5" s="12" t="inlineStr">
        <is>
          <t>Number of Payment Periods (nper)</t>
        </is>
      </c>
      <c r="C5" s="15" t="n">
        <v>60</v>
      </c>
    </row>
    <row r="6">
      <c r="B6" s="12" t="inlineStr">
        <is>
          <t>Monthly Payment Amount (pmt)</t>
        </is>
      </c>
      <c r="C6" s="13" t="n">
        <v>-499</v>
      </c>
    </row>
    <row r="7">
      <c r="B7" s="12" t="inlineStr">
        <is>
          <t>Loan Amount / Present Value (pv)</t>
        </is>
      </c>
      <c r="C7" s="13" t="n">
        <v>25000</v>
      </c>
    </row>
    <row r="8">
      <c r="B8" s="12" t="inlineStr">
        <is>
          <t>Future Value (fv)</t>
        </is>
      </c>
      <c r="C8" s="15" t="n">
        <v>0</v>
      </c>
    </row>
    <row r="9">
      <c r="B9" s="12" t="inlineStr">
        <is>
          <t>Payment Type (0=end, 1=beginning)</t>
        </is>
      </c>
      <c r="C9" s="15" t="n">
        <v>0</v>
      </c>
    </row>
    <row r="11" ht="20" customHeight="1">
      <c r="A11" s="3" t="inlineStr">
        <is>
          <t>📤  Calculated Results</t>
        </is>
      </c>
    </row>
    <row r="12">
      <c r="B12" s="12" t="inlineStr">
        <is>
          <t>Monthly Rate  [=RATE(nper, pmt, pv, fv, type)]</t>
        </is>
      </c>
      <c r="C12" s="17">
        <f>RATE(C5,C6,C7,C8,C9)</f>
        <v/>
      </c>
    </row>
    <row r="13">
      <c r="B13" s="12" t="inlineStr">
        <is>
          <t>Annual Rate (Monthly Rate × 12)</t>
        </is>
      </c>
      <c r="C13" s="20">
        <f>C12*12</f>
        <v/>
      </c>
    </row>
    <row r="14">
      <c r="B14" s="12" t="inlineStr">
        <is>
          <t>APR Interpretation</t>
        </is>
      </c>
      <c r="C14" s="21">
        <f>IF(C13&gt;0.1,"High — shop around","Reasonable rate")</f>
        <v/>
      </c>
    </row>
    <row r="16" ht="20" customHeight="1">
      <c r="A16" s="3" t="inlineStr">
        <is>
          <t>💡  Key Points</t>
        </is>
      </c>
    </row>
    <row r="17" ht="16" customHeight="1">
      <c r="B17" s="7" t="inlineStr">
        <is>
          <t>• pmt must be NEGATIVE (money going OUT each month)</t>
        </is>
      </c>
    </row>
    <row r="18" ht="16" customHeight="1">
      <c r="B18" s="7" t="inlineStr">
        <is>
          <t>• pv is POSITIVE (money coming IN — the loan you received)</t>
        </is>
      </c>
    </row>
    <row r="19" ht="16" customHeight="1">
      <c r="B19" s="7" t="inlineStr">
        <is>
          <t>• RATE returns the PERIODIC rate; multiply by periods/year to get annual rate</t>
        </is>
      </c>
    </row>
    <row r="20" ht="16" customHeight="1">
      <c r="B20" s="7" t="inlineStr">
        <is>
          <t>• RATE uses iteration — it tries different rates until the answer converges</t>
        </is>
      </c>
    </row>
    <row r="22" ht="20" customHeight="1">
      <c r="A22" s="3" t="inlineStr">
        <is>
          <t>✏️  Practice Tasks</t>
        </is>
      </c>
    </row>
    <row r="23" ht="18" customHeight="1">
      <c r="B23" s="7" t="inlineStr">
        <is>
          <t>1.  Change the payment to $450/month. What rate does this imply?</t>
        </is>
      </c>
    </row>
    <row r="24" ht="18" customHeight="1">
      <c r="B24" s="7" t="inlineStr">
        <is>
          <t>2.  Change the loan amount to $28,000. Does the rate go up or down? Why?</t>
        </is>
      </c>
    </row>
    <row r="25" ht="18" customHeight="1">
      <c r="B25" s="7" t="inlineStr">
        <is>
          <t>3.  What payment would give exactly 6% annual rate? Use Goal Seek to find out.</t>
        </is>
      </c>
    </row>
  </sheetData>
  <mergeCells count="13">
    <mergeCell ref="A4:E4"/>
    <mergeCell ref="B19:D19"/>
    <mergeCell ref="A16:E16"/>
    <mergeCell ref="B23:D23"/>
    <mergeCell ref="B25:D25"/>
    <mergeCell ref="A11:E11"/>
    <mergeCell ref="B17:D17"/>
    <mergeCell ref="B18:D18"/>
    <mergeCell ref="A1:E1"/>
    <mergeCell ref="A22:E22"/>
    <mergeCell ref="B24:D24"/>
    <mergeCell ref="B2:D2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5" customWidth="1" min="5" max="5"/>
  </cols>
  <sheetData>
    <row r="1" ht="30" customHeight="1">
      <c r="A1" s="1" t="inlineStr">
        <is>
          <t>NPER — Find How Long to Pay Off a Loan</t>
        </is>
      </c>
    </row>
    <row r="2">
      <c r="B2" s="11" t="inlineStr">
        <is>
          <t>Scenario: You have a $15,000 credit card balance at 18% APR. If you pay $350/month, how long will it take to pay it off?</t>
        </is>
      </c>
    </row>
    <row r="4" ht="20" customHeight="1">
      <c r="A4" s="3" t="inlineStr">
        <is>
          <t>📥  Known Loan Details</t>
        </is>
      </c>
    </row>
    <row r="5">
      <c r="B5" s="12" t="inlineStr">
        <is>
          <t>Annual Interest Rate</t>
        </is>
      </c>
      <c r="C5" s="14" t="n">
        <v>0.18</v>
      </c>
    </row>
    <row r="6">
      <c r="B6" s="12" t="inlineStr">
        <is>
          <t>Payments Per Year</t>
        </is>
      </c>
      <c r="C6" s="15" t="n">
        <v>12</v>
      </c>
    </row>
    <row r="7">
      <c r="B7" s="12" t="inlineStr">
        <is>
          <t>Monthly Payment (pmt)</t>
        </is>
      </c>
      <c r="C7" s="13" t="n">
        <v>-350</v>
      </c>
    </row>
    <row r="8">
      <c r="B8" s="12" t="inlineStr">
        <is>
          <t>Current Balance / Present Value (pv)</t>
        </is>
      </c>
      <c r="C8" s="13" t="n">
        <v>15000</v>
      </c>
    </row>
    <row r="9">
      <c r="B9" s="12" t="inlineStr">
        <is>
          <t>Target Ending Balance (fv)</t>
        </is>
      </c>
      <c r="C9" s="15" t="n">
        <v>0</v>
      </c>
    </row>
    <row r="11" ht="20" customHeight="1">
      <c r="A11" s="3" t="inlineStr">
        <is>
          <t>📤  Calculated Results</t>
        </is>
      </c>
    </row>
    <row r="12">
      <c r="B12" s="12" t="inlineStr">
        <is>
          <t>Periodic Rate = Annual Rate ÷ Payments/Year</t>
        </is>
      </c>
      <c r="C12" s="17">
        <f>C5/C6</f>
        <v/>
      </c>
    </row>
    <row r="13">
      <c r="B13" s="12" t="inlineStr">
        <is>
          <t>Months to Pay Off  [=NPER(rate, pmt, pv, fv)]</t>
        </is>
      </c>
      <c r="C13" s="22">
        <f>NPER(C12,C7,C8,C9)</f>
        <v/>
      </c>
    </row>
    <row r="14">
      <c r="B14" s="12" t="inlineStr">
        <is>
          <t>Years to Pay Off (months ÷ 12)</t>
        </is>
      </c>
      <c r="C14" s="22">
        <f>C13/12</f>
        <v/>
      </c>
    </row>
    <row r="15">
      <c r="B15" s="12" t="inlineStr">
        <is>
          <t>Total Amount Paid</t>
        </is>
      </c>
      <c r="C15" s="18">
        <f>ABS(C7)*C13</f>
        <v/>
      </c>
    </row>
    <row r="16">
      <c r="B16" s="12" t="inlineStr">
        <is>
          <t>Total Interest Paid</t>
        </is>
      </c>
      <c r="C16" s="18">
        <f>C15-C8</f>
        <v/>
      </c>
    </row>
    <row r="18" ht="20" customHeight="1">
      <c r="A18" s="3" t="inlineStr">
        <is>
          <t>💡  Key Points</t>
        </is>
      </c>
    </row>
    <row r="19" ht="16" customHeight="1">
      <c r="B19" s="7" t="inlineStr">
        <is>
          <t>• pmt must be NEGATIVE (money leaving your account each month)</t>
        </is>
      </c>
    </row>
    <row r="20" ht="16" customHeight="1">
      <c r="B20" s="7" t="inlineStr">
        <is>
          <t>• pv is POSITIVE (the current outstanding balance)</t>
        </is>
      </c>
    </row>
    <row r="21" ht="16" customHeight="1">
      <c r="B21" s="7" t="inlineStr">
        <is>
          <t>• NPER returns the number of PERIODS matching the rate periodicity</t>
        </is>
      </c>
    </row>
    <row r="22" ht="16" customHeight="1">
      <c r="B22" s="7" t="inlineStr">
        <is>
          <t>• Divide by 12 to convert monthly periods to years</t>
        </is>
      </c>
    </row>
    <row r="23" ht="16" customHeight="1">
      <c r="B23" s="7" t="inlineStr">
        <is>
          <t>• If pmt &lt; interest accrued per period, NPER returns an error — you never pay it off!</t>
        </is>
      </c>
    </row>
    <row r="25" ht="20" customHeight="1">
      <c r="A25" s="3" t="inlineStr">
        <is>
          <t>✏️  Practice Tasks</t>
        </is>
      </c>
    </row>
    <row r="26" ht="18" customHeight="1">
      <c r="B26" s="7" t="inlineStr">
        <is>
          <t>1.  Increase the monthly payment to $500. How many fewer months?</t>
        </is>
      </c>
    </row>
    <row r="27" ht="18" customHeight="1">
      <c r="B27" s="7" t="inlineStr">
        <is>
          <t>2.  Drop the rate to 12% APR (balance transfer offer). How does this change payoff time?</t>
        </is>
      </c>
    </row>
    <row r="28" ht="18" customHeight="1">
      <c r="B28" s="7" t="inlineStr">
        <is>
          <t>3.  What is the minimum monthly payment to avoid an error? (Hint: must exceed monthly interest charge of balance × rate/12)</t>
        </is>
      </c>
    </row>
  </sheetData>
  <mergeCells count="14">
    <mergeCell ref="B28:D28"/>
    <mergeCell ref="A4:E4"/>
    <mergeCell ref="B19:D19"/>
    <mergeCell ref="B23:D23"/>
    <mergeCell ref="B22:D22"/>
    <mergeCell ref="A25:E25"/>
    <mergeCell ref="A11:E11"/>
    <mergeCell ref="B26:D26"/>
    <mergeCell ref="B27:D27"/>
    <mergeCell ref="A1:E1"/>
    <mergeCell ref="B21:D21"/>
    <mergeCell ref="A18:E18"/>
    <mergeCell ref="B2:D2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5" customWidth="1" min="5" max="5"/>
  </cols>
  <sheetData>
    <row r="1" ht="30" customHeight="1">
      <c r="A1" s="1" t="inlineStr">
        <is>
          <t>CUMIPMT &amp; CUMPRINC — Cumulative Interest &amp; Principal</t>
        </is>
      </c>
    </row>
    <row r="2">
      <c r="B2" s="11" t="inlineStr">
        <is>
          <t>Scenario: $200,000 mortgage at 6.5% for 30 years. How much interest do you pay in the first 5 years? First year?</t>
        </is>
      </c>
    </row>
    <row r="4" ht="20" customHeight="1">
      <c r="A4" s="3" t="inlineStr">
        <is>
          <t>📥  Mortgage Inputs</t>
        </is>
      </c>
    </row>
    <row r="5">
      <c r="B5" s="12" t="inlineStr">
        <is>
          <t>Loan Amount (pv)</t>
        </is>
      </c>
      <c r="C5" s="13" t="n">
        <v>200000</v>
      </c>
    </row>
    <row r="6">
      <c r="B6" s="12" t="inlineStr">
        <is>
          <t>Annual Interest Rate</t>
        </is>
      </c>
      <c r="C6" s="14" t="n">
        <v>0.065</v>
      </c>
    </row>
    <row r="7">
      <c r="B7" s="12" t="inlineStr">
        <is>
          <t>Loan Term (Years)</t>
        </is>
      </c>
      <c r="C7" s="15" t="n">
        <v>30</v>
      </c>
    </row>
    <row r="8">
      <c r="B8" s="12" t="inlineStr">
        <is>
          <t>Payments Per Year</t>
        </is>
      </c>
      <c r="C8" s="15" t="n">
        <v>12</v>
      </c>
    </row>
    <row r="10" ht="20" customHeight="1">
      <c r="A10" s="3" t="inlineStr">
        <is>
          <t>📤  Derived Values</t>
        </is>
      </c>
    </row>
    <row r="11">
      <c r="B11" s="12" t="inlineStr">
        <is>
          <t>Total Periods (nper)</t>
        </is>
      </c>
      <c r="C11" s="16">
        <f>C7*C8</f>
        <v/>
      </c>
    </row>
    <row r="12">
      <c r="B12" s="12" t="inlineStr">
        <is>
          <t>Periodic Rate</t>
        </is>
      </c>
      <c r="C12" s="17">
        <f>C6/C8</f>
        <v/>
      </c>
    </row>
    <row r="13">
      <c r="B13" s="12" t="inlineStr">
        <is>
          <t>Monthly Payment</t>
        </is>
      </c>
      <c r="C13" s="18">
        <f>PMT(C12,C11,-C5,0,0)</f>
        <v/>
      </c>
    </row>
    <row r="15" ht="20" customHeight="1">
      <c r="A15" s="3" t="inlineStr">
        <is>
          <t>📊  CUMIPMT — Cumulative Interest Paid</t>
        </is>
      </c>
    </row>
    <row r="16">
      <c r="B16" s="11" t="inlineStr">
        <is>
          <t xml:space="preserve">  =CUMIPMT(rate, nper, pv, start_period, end_period, type)   →  returns NEGATIVE</t>
        </is>
      </c>
    </row>
    <row r="17">
      <c r="B17" s="12" t="inlineStr">
        <is>
          <t>Interest Paid — Year 1 (periods 1–12)</t>
        </is>
      </c>
      <c r="C17" s="18">
        <f>ABS(CUMIPMT(C12,C11,C5,1,12,0))</f>
        <v/>
      </c>
    </row>
    <row r="18">
      <c r="B18" s="12" t="inlineStr">
        <is>
          <t>Interest Paid — Years 1–5 (periods 1–60)</t>
        </is>
      </c>
      <c r="C18" s="18">
        <f>ABS(CUMIPMT(C12,C11,C5,1,60,0))</f>
        <v/>
      </c>
    </row>
    <row r="19">
      <c r="B19" s="12" t="inlineStr">
        <is>
          <t>Interest Paid — Full Loan (periods 1–nper)</t>
        </is>
      </c>
      <c r="C19" s="18">
        <f>ABS(CUMIPMT(C12,C11,C5,1,C11,0))</f>
        <v/>
      </c>
    </row>
    <row r="20">
      <c r="B20" s="12" t="inlineStr">
        <is>
          <t>Interest as % of Total Paid</t>
        </is>
      </c>
      <c r="C20" s="20">
        <f>C19/(C19+C5)</f>
        <v/>
      </c>
    </row>
    <row r="22" ht="20" customHeight="1">
      <c r="A22" s="3" t="inlineStr">
        <is>
          <t>📊  CUMPRINC — Cumulative Principal Paid</t>
        </is>
      </c>
    </row>
    <row r="23">
      <c r="B23" s="11" t="inlineStr">
        <is>
          <t xml:space="preserve">  =CUMPRINC(rate, nper, pv, start_period, end_period, type)  →  returns NEGATIVE</t>
        </is>
      </c>
    </row>
    <row r="24">
      <c r="B24" s="12" t="inlineStr">
        <is>
          <t>Principal Paid — Year 1 (periods 1–12)</t>
        </is>
      </c>
      <c r="C24" s="18">
        <f>ABS(CUMPRINC(C12,C11,C5,1,12,0))</f>
        <v/>
      </c>
    </row>
    <row r="25">
      <c r="B25" s="12" t="inlineStr">
        <is>
          <t>Principal Paid — Years 1–5 (periods 1–60)</t>
        </is>
      </c>
      <c r="C25" s="18">
        <f>ABS(CUMPRINC(C12,C11,C5,1,60,0))</f>
        <v/>
      </c>
    </row>
    <row r="26">
      <c r="B26" s="12" t="inlineStr">
        <is>
          <t>Principal Paid — Full Loan</t>
        </is>
      </c>
      <c r="C26" s="18">
        <f>ABS(CUMPRINC(C12,C11,C5,1,C11,0))</f>
        <v/>
      </c>
    </row>
    <row r="27">
      <c r="B27" s="12" t="inlineStr">
        <is>
          <t>Remaining Balance After Year 5</t>
        </is>
      </c>
      <c r="C27" s="18">
        <f>C5-ABS(CUMPRINC(C12,C11,C5,1,60,0))</f>
        <v/>
      </c>
    </row>
    <row r="29" ht="20" customHeight="1">
      <c r="A29" s="3" t="inlineStr">
        <is>
          <t>✏️  Practice Tasks</t>
        </is>
      </c>
    </row>
    <row r="30" ht="18" customHeight="1">
      <c r="B30" s="7" t="inlineStr">
        <is>
          <t>1.  How much interest is paid in Year 2 alone? (Use periods 13–24.)</t>
        </is>
      </c>
    </row>
    <row r="31" ht="18" customHeight="1">
      <c r="B31" s="7" t="inlineStr">
        <is>
          <t>2.  How much principal is left after 10 years?</t>
        </is>
      </c>
    </row>
    <row r="32" ht="18" customHeight="1">
      <c r="B32" s="7" t="inlineStr">
        <is>
          <t>3.  Compare interest paid in years 1–5 vs years 26–30. What pattern do you notice?</t>
        </is>
      </c>
    </row>
    <row r="33" ht="18" customHeight="1">
      <c r="B33" s="7" t="inlineStr">
        <is>
          <t>4.  Change the rate to 4.5%. How does total interest paid change over the life of the loan?</t>
        </is>
      </c>
    </row>
  </sheetData>
  <mergeCells count="13">
    <mergeCell ref="B33:D33"/>
    <mergeCell ref="A29:E29"/>
    <mergeCell ref="A4:E4"/>
    <mergeCell ref="B31:D31"/>
    <mergeCell ref="B23:D23"/>
    <mergeCell ref="A15:E15"/>
    <mergeCell ref="A10:E10"/>
    <mergeCell ref="B32:D32"/>
    <mergeCell ref="B16:D16"/>
    <mergeCell ref="A1:E1"/>
    <mergeCell ref="B30:D30"/>
    <mergeCell ref="A22:E2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2026-05-28T14:53:31Z</dcterms:created>
  <dcterms:modified xsi:type="dcterms:W3CDTF">2026-05-28T14:53:31Z</dcterms:modified>
</cp:coreProperties>
</file>