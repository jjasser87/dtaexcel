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mortization" sheetId="2" state="visible" r:id="rId2"/>
    <sheet name="PPMT_IPMT_Expla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00%"/>
    <numFmt numFmtId="166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000000"/>
      <sz val="11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7F3F00"/>
      <sz val="10"/>
    </font>
    <font>
      <name val="Calibri"/>
      <b val="1"/>
      <color rgb="00375623"/>
      <sz val="10"/>
    </font>
    <font>
      <name val="Calibri"/>
      <i val="1"/>
      <color rgb="00595959"/>
      <sz val="9"/>
    </font>
    <font>
      <name val="Calibri"/>
      <color rgb="007F3F00"/>
      <sz val="11"/>
    </font>
    <font>
      <name val="Calibri"/>
      <b val="1"/>
      <color rgb="00375623"/>
      <sz val="11"/>
    </font>
    <font>
      <name val="Calibri"/>
      <color rgb="00000000"/>
      <sz val="9"/>
    </font>
    <font>
      <name val="Calibri"/>
      <color rgb="007F0000"/>
      <sz val="9"/>
    </font>
    <font>
      <name val="Calibri"/>
      <color rgb="00375623"/>
      <sz val="9"/>
    </font>
    <font>
      <name val="Calibri"/>
      <b val="1"/>
      <color rgb="007F3F00"/>
      <sz val="14"/>
    </font>
    <font>
      <name val="Calibri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BDD7EE"/>
      </patternFill>
    </fill>
    <fill>
      <patternFill patternType="solid">
        <fgColor rgb="00FFC000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center" vertical="center" wrapText="1"/>
    </xf>
    <xf numFmtId="10" fontId="9" fillId="4" borderId="1" applyAlignment="1" pivotButton="0" quotePrefix="0" xfId="0">
      <alignment horizontal="center" vertical="center" wrapText="1"/>
    </xf>
    <xf numFmtId="1" fontId="9" fillId="4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50" customWidth="1" min="3" max="3"/>
    <col width="5" customWidth="1" min="4" max="4"/>
  </cols>
  <sheetData>
    <row r="1" ht="30" customHeight="1">
      <c r="A1" s="1" t="inlineStr">
        <is>
          <t>rFLA300 — Chapter 11: Financial Models</t>
        </is>
      </c>
    </row>
    <row r="2" ht="18" customHeight="1">
      <c r="B2" s="2" t="inlineStr">
        <is>
          <t>Amortization Schedule — PPMT and IPMT</t>
        </is>
      </c>
    </row>
    <row r="4" ht="20" customHeight="1">
      <c r="A4" s="3" t="inlineStr">
        <is>
          <t>📋  File Contents</t>
        </is>
      </c>
    </row>
    <row r="5">
      <c r="B5" s="4" t="inlineStr">
        <is>
          <t>Sheet</t>
        </is>
      </c>
      <c r="C5" s="4" t="inlineStr">
        <is>
          <t>Purpose</t>
        </is>
      </c>
    </row>
    <row r="6">
      <c r="B6" s="5" t="inlineStr">
        <is>
          <t>Instructions</t>
        </is>
      </c>
      <c r="C6" s="5" t="inlineStr">
        <is>
          <t>Overview of file purpose and color key</t>
        </is>
      </c>
    </row>
    <row r="7">
      <c r="B7" s="5" t="inlineStr">
        <is>
          <t>Amortization</t>
        </is>
      </c>
      <c r="C7" s="5" t="inlineStr">
        <is>
          <t>Full payment-by-payment schedule using PPMT and IPMT</t>
        </is>
      </c>
    </row>
    <row r="8">
      <c r="B8" s="5" t="inlineStr">
        <is>
          <t>PPMT_IPMT_Explained</t>
        </is>
      </c>
      <c r="C8" s="5" t="inlineStr">
        <is>
          <t>Deep dive into how PPMT and IPMT work for any period</t>
        </is>
      </c>
    </row>
    <row r="11" ht="20" customHeight="1">
      <c r="A11" s="3" t="inlineStr">
        <is>
          <t>🎨  Color Key</t>
        </is>
      </c>
    </row>
    <row r="12">
      <c r="B12" s="6" t="inlineStr">
        <is>
          <t xml:space="preserve">   Sample</t>
        </is>
      </c>
      <c r="C12" s="7" t="inlineStr">
        <is>
          <t>Input / Assumption cells — enter your values here</t>
        </is>
      </c>
    </row>
    <row r="13">
      <c r="B13" s="8" t="inlineStr">
        <is>
          <t xml:space="preserve">   Sample</t>
        </is>
      </c>
      <c r="C13" s="7" t="inlineStr">
        <is>
          <t>Result cells — calculated by Excel formulas</t>
        </is>
      </c>
    </row>
    <row r="14">
      <c r="B14" s="9" t="inlineStr">
        <is>
          <t xml:space="preserve">   Sample</t>
        </is>
      </c>
      <c r="C14" s="7" t="inlineStr">
        <is>
          <t>Labels — descriptions of each row</t>
        </is>
      </c>
    </row>
    <row r="15">
      <c r="B15" s="10" t="inlineStr">
        <is>
          <t xml:space="preserve">   Sample</t>
        </is>
      </c>
      <c r="C15" s="7" t="inlineStr">
        <is>
          <t>Section headers</t>
        </is>
      </c>
    </row>
  </sheetData>
  <mergeCells count="4">
    <mergeCell ref="A1:D1"/>
    <mergeCell ref="A4:D4"/>
    <mergeCell ref="B2:C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5" customWidth="1" min="8" max="8"/>
  </cols>
  <sheetData>
    <row r="1" ht="30" customHeight="1">
      <c r="A1" s="1" t="inlineStr">
        <is>
          <t>Loan Amortization Schedule — PPMT &amp; IPMT</t>
        </is>
      </c>
    </row>
    <row r="2">
      <c r="B2" s="11" t="inlineStr">
        <is>
          <t>Every payment is split between interest (IPMT) and principal (PPMT). Early payments are mostly interest; later payments are mostly principal.</t>
        </is>
      </c>
    </row>
    <row r="4" ht="20" customHeight="1">
      <c r="A4" s="3" t="inlineStr">
        <is>
          <t>📥  Loan Inputs</t>
        </is>
      </c>
    </row>
    <row r="5">
      <c r="B5" s="12" t="inlineStr">
        <is>
          <t>Loan Amount</t>
        </is>
      </c>
      <c r="C5" s="13" t="n">
        <v>25000</v>
      </c>
    </row>
    <row r="6">
      <c r="B6" s="12" t="inlineStr">
        <is>
          <t>Annual Rate</t>
        </is>
      </c>
      <c r="C6" s="14" t="n">
        <v>0.068</v>
      </c>
    </row>
    <row r="7">
      <c r="B7" s="12" t="inlineStr">
        <is>
          <t>Term (Years)</t>
        </is>
      </c>
      <c r="C7" s="15" t="n">
        <v>5</v>
      </c>
    </row>
    <row r="8">
      <c r="B8" s="12" t="inlineStr">
        <is>
          <t>Payments/Year</t>
        </is>
      </c>
      <c r="C8" s="15" t="n">
        <v>12</v>
      </c>
    </row>
    <row r="9">
      <c r="B9" s="12" t="inlineStr">
        <is>
          <t>Periodic Rate</t>
        </is>
      </c>
      <c r="C9" s="16">
        <f>C6/C8</f>
        <v/>
      </c>
    </row>
    <row r="10">
      <c r="B10" s="12" t="inlineStr">
        <is>
          <t>Total Periods</t>
        </is>
      </c>
      <c r="C10" s="17">
        <f>C7*C8</f>
        <v/>
      </c>
    </row>
    <row r="11">
      <c r="B11" s="12" t="inlineStr">
        <is>
          <t>Monthly Payment</t>
        </is>
      </c>
      <c r="C11" s="18">
        <f>PMT(C9,C10,-C5,0,0)</f>
        <v/>
      </c>
    </row>
    <row r="13" ht="20" customHeight="1">
      <c r="A13" s="3" t="inlineStr">
        <is>
          <t>📋  Amortization Schedule</t>
        </is>
      </c>
    </row>
    <row r="14">
      <c r="B14" s="10" t="inlineStr">
        <is>
          <t>Period</t>
        </is>
      </c>
      <c r="C14" s="10" t="inlineStr">
        <is>
          <t>Payment</t>
        </is>
      </c>
      <c r="D14" s="10" t="inlineStr">
        <is>
          <t>Interest (IPMT)</t>
        </is>
      </c>
      <c r="E14" s="10" t="inlineStr">
        <is>
          <t>Principal (PPMT)</t>
        </is>
      </c>
      <c r="F14" s="10" t="inlineStr">
        <is>
          <t>Cumul. Interest</t>
        </is>
      </c>
      <c r="G14" s="10" t="inlineStr">
        <is>
          <t>Balance</t>
        </is>
      </c>
    </row>
    <row r="15" ht="15" customHeight="1">
      <c r="B15" s="19" t="n">
        <v>1</v>
      </c>
      <c r="C15" s="20">
        <f>$C$11</f>
        <v/>
      </c>
      <c r="D15" s="21">
        <f>ABS(IPMT($C$9,B15,$C$10,-$C$5,0,0))</f>
        <v/>
      </c>
      <c r="E15" s="22">
        <f>ABS(PPMT($C$9,B15,$C$10,-$C$5,0,0))</f>
        <v/>
      </c>
      <c r="F15" s="20">
        <f>SUM($D$15:D15)</f>
        <v/>
      </c>
      <c r="G15" s="20">
        <f>$C$5-E15</f>
        <v/>
      </c>
    </row>
    <row r="16" ht="15" customHeight="1">
      <c r="B16" s="19" t="n">
        <v>2</v>
      </c>
      <c r="C16" s="20">
        <f>$C$11</f>
        <v/>
      </c>
      <c r="D16" s="21">
        <f>ABS(IPMT($C$9,B16,$C$10,-$C$5,0,0))</f>
        <v/>
      </c>
      <c r="E16" s="22">
        <f>ABS(PPMT($C$9,B16,$C$10,-$C$5,0,0))</f>
        <v/>
      </c>
      <c r="F16" s="20">
        <f>SUM($D$15:D16)</f>
        <v/>
      </c>
      <c r="G16" s="20">
        <f>G15-E16</f>
        <v/>
      </c>
    </row>
    <row r="17" ht="15" customHeight="1">
      <c r="B17" s="19" t="n">
        <v>3</v>
      </c>
      <c r="C17" s="20">
        <f>$C$11</f>
        <v/>
      </c>
      <c r="D17" s="21">
        <f>ABS(IPMT($C$9,B17,$C$10,-$C$5,0,0))</f>
        <v/>
      </c>
      <c r="E17" s="22">
        <f>ABS(PPMT($C$9,B17,$C$10,-$C$5,0,0))</f>
        <v/>
      </c>
      <c r="F17" s="20">
        <f>SUM($D$15:D17)</f>
        <v/>
      </c>
      <c r="G17" s="20">
        <f>G16-E17</f>
        <v/>
      </c>
    </row>
    <row r="18" ht="15" customHeight="1">
      <c r="B18" s="19" t="n">
        <v>4</v>
      </c>
      <c r="C18" s="20">
        <f>$C$11</f>
        <v/>
      </c>
      <c r="D18" s="21">
        <f>ABS(IPMT($C$9,B18,$C$10,-$C$5,0,0))</f>
        <v/>
      </c>
      <c r="E18" s="22">
        <f>ABS(PPMT($C$9,B18,$C$10,-$C$5,0,0))</f>
        <v/>
      </c>
      <c r="F18" s="20">
        <f>SUM($D$15:D18)</f>
        <v/>
      </c>
      <c r="G18" s="20">
        <f>G17-E18</f>
        <v/>
      </c>
    </row>
    <row r="19" ht="15" customHeight="1">
      <c r="B19" s="19" t="n">
        <v>5</v>
      </c>
      <c r="C19" s="20">
        <f>$C$11</f>
        <v/>
      </c>
      <c r="D19" s="21">
        <f>ABS(IPMT($C$9,B19,$C$10,-$C$5,0,0))</f>
        <v/>
      </c>
      <c r="E19" s="22">
        <f>ABS(PPMT($C$9,B19,$C$10,-$C$5,0,0))</f>
        <v/>
      </c>
      <c r="F19" s="20">
        <f>SUM($D$15:D19)</f>
        <v/>
      </c>
      <c r="G19" s="20">
        <f>G18-E19</f>
        <v/>
      </c>
    </row>
    <row r="20" ht="15" customHeight="1">
      <c r="B20" s="19" t="n">
        <v>6</v>
      </c>
      <c r="C20" s="20">
        <f>$C$11</f>
        <v/>
      </c>
      <c r="D20" s="21">
        <f>ABS(IPMT($C$9,B20,$C$10,-$C$5,0,0))</f>
        <v/>
      </c>
      <c r="E20" s="22">
        <f>ABS(PPMT($C$9,B20,$C$10,-$C$5,0,0))</f>
        <v/>
      </c>
      <c r="F20" s="20">
        <f>SUM($D$15:D20)</f>
        <v/>
      </c>
      <c r="G20" s="20">
        <f>G19-E20</f>
        <v/>
      </c>
    </row>
    <row r="21" ht="15" customHeight="1">
      <c r="B21" s="19" t="n">
        <v>7</v>
      </c>
      <c r="C21" s="20">
        <f>$C$11</f>
        <v/>
      </c>
      <c r="D21" s="21">
        <f>ABS(IPMT($C$9,B21,$C$10,-$C$5,0,0))</f>
        <v/>
      </c>
      <c r="E21" s="22">
        <f>ABS(PPMT($C$9,B21,$C$10,-$C$5,0,0))</f>
        <v/>
      </c>
      <c r="F21" s="20">
        <f>SUM($D$15:D21)</f>
        <v/>
      </c>
      <c r="G21" s="20">
        <f>G20-E21</f>
        <v/>
      </c>
    </row>
    <row r="22" ht="15" customHeight="1">
      <c r="B22" s="19" t="n">
        <v>8</v>
      </c>
      <c r="C22" s="20">
        <f>$C$11</f>
        <v/>
      </c>
      <c r="D22" s="21">
        <f>ABS(IPMT($C$9,B22,$C$10,-$C$5,0,0))</f>
        <v/>
      </c>
      <c r="E22" s="22">
        <f>ABS(PPMT($C$9,B22,$C$10,-$C$5,0,0))</f>
        <v/>
      </c>
      <c r="F22" s="20">
        <f>SUM($D$15:D22)</f>
        <v/>
      </c>
      <c r="G22" s="20">
        <f>G21-E22</f>
        <v/>
      </c>
    </row>
    <row r="23" ht="15" customHeight="1">
      <c r="B23" s="19" t="n">
        <v>9</v>
      </c>
      <c r="C23" s="20">
        <f>$C$11</f>
        <v/>
      </c>
      <c r="D23" s="21">
        <f>ABS(IPMT($C$9,B23,$C$10,-$C$5,0,0))</f>
        <v/>
      </c>
      <c r="E23" s="22">
        <f>ABS(PPMT($C$9,B23,$C$10,-$C$5,0,0))</f>
        <v/>
      </c>
      <c r="F23" s="20">
        <f>SUM($D$15:D23)</f>
        <v/>
      </c>
      <c r="G23" s="20">
        <f>G22-E23</f>
        <v/>
      </c>
    </row>
    <row r="24" ht="15" customHeight="1">
      <c r="B24" s="19" t="n">
        <v>10</v>
      </c>
      <c r="C24" s="20">
        <f>$C$11</f>
        <v/>
      </c>
      <c r="D24" s="21">
        <f>ABS(IPMT($C$9,B24,$C$10,-$C$5,0,0))</f>
        <v/>
      </c>
      <c r="E24" s="22">
        <f>ABS(PPMT($C$9,B24,$C$10,-$C$5,0,0))</f>
        <v/>
      </c>
      <c r="F24" s="20">
        <f>SUM($D$15:D24)</f>
        <v/>
      </c>
      <c r="G24" s="20">
        <f>G23-E24</f>
        <v/>
      </c>
    </row>
    <row r="25" ht="15" customHeight="1">
      <c r="B25" s="19" t="n">
        <v>11</v>
      </c>
      <c r="C25" s="20">
        <f>$C$11</f>
        <v/>
      </c>
      <c r="D25" s="21">
        <f>ABS(IPMT($C$9,B25,$C$10,-$C$5,0,0))</f>
        <v/>
      </c>
      <c r="E25" s="22">
        <f>ABS(PPMT($C$9,B25,$C$10,-$C$5,0,0))</f>
        <v/>
      </c>
      <c r="F25" s="20">
        <f>SUM($D$15:D25)</f>
        <v/>
      </c>
      <c r="G25" s="20">
        <f>G24-E25</f>
        <v/>
      </c>
    </row>
    <row r="26" ht="15" customHeight="1">
      <c r="B26" s="19" t="n">
        <v>12</v>
      </c>
      <c r="C26" s="20">
        <f>$C$11</f>
        <v/>
      </c>
      <c r="D26" s="21">
        <f>ABS(IPMT($C$9,B26,$C$10,-$C$5,0,0))</f>
        <v/>
      </c>
      <c r="E26" s="22">
        <f>ABS(PPMT($C$9,B26,$C$10,-$C$5,0,0))</f>
        <v/>
      </c>
      <c r="F26" s="20">
        <f>SUM($D$15:D26)</f>
        <v/>
      </c>
      <c r="G26" s="20">
        <f>G25-E26</f>
        <v/>
      </c>
    </row>
    <row r="27" ht="15" customHeight="1">
      <c r="B27" s="19" t="n">
        <v>13</v>
      </c>
      <c r="C27" s="20">
        <f>$C$11</f>
        <v/>
      </c>
      <c r="D27" s="21">
        <f>ABS(IPMT($C$9,B27,$C$10,-$C$5,0,0))</f>
        <v/>
      </c>
      <c r="E27" s="22">
        <f>ABS(PPMT($C$9,B27,$C$10,-$C$5,0,0))</f>
        <v/>
      </c>
      <c r="F27" s="20">
        <f>SUM($D$15:D27)</f>
        <v/>
      </c>
      <c r="G27" s="20">
        <f>G26-E27</f>
        <v/>
      </c>
    </row>
    <row r="28" ht="15" customHeight="1">
      <c r="B28" s="19" t="n">
        <v>14</v>
      </c>
      <c r="C28" s="20">
        <f>$C$11</f>
        <v/>
      </c>
      <c r="D28" s="21">
        <f>ABS(IPMT($C$9,B28,$C$10,-$C$5,0,0))</f>
        <v/>
      </c>
      <c r="E28" s="22">
        <f>ABS(PPMT($C$9,B28,$C$10,-$C$5,0,0))</f>
        <v/>
      </c>
      <c r="F28" s="20">
        <f>SUM($D$15:D28)</f>
        <v/>
      </c>
      <c r="G28" s="20">
        <f>G27-E28</f>
        <v/>
      </c>
    </row>
    <row r="29" ht="15" customHeight="1">
      <c r="B29" s="19" t="n">
        <v>15</v>
      </c>
      <c r="C29" s="20">
        <f>$C$11</f>
        <v/>
      </c>
      <c r="D29" s="21">
        <f>ABS(IPMT($C$9,B29,$C$10,-$C$5,0,0))</f>
        <v/>
      </c>
      <c r="E29" s="22">
        <f>ABS(PPMT($C$9,B29,$C$10,-$C$5,0,0))</f>
        <v/>
      </c>
      <c r="F29" s="20">
        <f>SUM($D$15:D29)</f>
        <v/>
      </c>
      <c r="G29" s="20">
        <f>G28-E29</f>
        <v/>
      </c>
    </row>
    <row r="30" ht="15" customHeight="1">
      <c r="B30" s="19" t="n">
        <v>16</v>
      </c>
      <c r="C30" s="20">
        <f>$C$11</f>
        <v/>
      </c>
      <c r="D30" s="21">
        <f>ABS(IPMT($C$9,B30,$C$10,-$C$5,0,0))</f>
        <v/>
      </c>
      <c r="E30" s="22">
        <f>ABS(PPMT($C$9,B30,$C$10,-$C$5,0,0))</f>
        <v/>
      </c>
      <c r="F30" s="20">
        <f>SUM($D$15:D30)</f>
        <v/>
      </c>
      <c r="G30" s="20">
        <f>G29-E30</f>
        <v/>
      </c>
    </row>
    <row r="31" ht="15" customHeight="1">
      <c r="B31" s="19" t="n">
        <v>17</v>
      </c>
      <c r="C31" s="20">
        <f>$C$11</f>
        <v/>
      </c>
      <c r="D31" s="21">
        <f>ABS(IPMT($C$9,B31,$C$10,-$C$5,0,0))</f>
        <v/>
      </c>
      <c r="E31" s="22">
        <f>ABS(PPMT($C$9,B31,$C$10,-$C$5,0,0))</f>
        <v/>
      </c>
      <c r="F31" s="20">
        <f>SUM($D$15:D31)</f>
        <v/>
      </c>
      <c r="G31" s="20">
        <f>G30-E31</f>
        <v/>
      </c>
    </row>
    <row r="32" ht="15" customHeight="1">
      <c r="B32" s="19" t="n">
        <v>18</v>
      </c>
      <c r="C32" s="20">
        <f>$C$11</f>
        <v/>
      </c>
      <c r="D32" s="21">
        <f>ABS(IPMT($C$9,B32,$C$10,-$C$5,0,0))</f>
        <v/>
      </c>
      <c r="E32" s="22">
        <f>ABS(PPMT($C$9,B32,$C$10,-$C$5,0,0))</f>
        <v/>
      </c>
      <c r="F32" s="20">
        <f>SUM($D$15:D32)</f>
        <v/>
      </c>
      <c r="G32" s="20">
        <f>G31-E32</f>
        <v/>
      </c>
    </row>
    <row r="33" ht="15" customHeight="1">
      <c r="B33" s="19" t="n">
        <v>19</v>
      </c>
      <c r="C33" s="20">
        <f>$C$11</f>
        <v/>
      </c>
      <c r="D33" s="21">
        <f>ABS(IPMT($C$9,B33,$C$10,-$C$5,0,0))</f>
        <v/>
      </c>
      <c r="E33" s="22">
        <f>ABS(PPMT($C$9,B33,$C$10,-$C$5,0,0))</f>
        <v/>
      </c>
      <c r="F33" s="20">
        <f>SUM($D$15:D33)</f>
        <v/>
      </c>
      <c r="G33" s="20">
        <f>G32-E33</f>
        <v/>
      </c>
    </row>
    <row r="34" ht="15" customHeight="1">
      <c r="B34" s="19" t="n">
        <v>20</v>
      </c>
      <c r="C34" s="20">
        <f>$C$11</f>
        <v/>
      </c>
      <c r="D34" s="21">
        <f>ABS(IPMT($C$9,B34,$C$10,-$C$5,0,0))</f>
        <v/>
      </c>
      <c r="E34" s="22">
        <f>ABS(PPMT($C$9,B34,$C$10,-$C$5,0,0))</f>
        <v/>
      </c>
      <c r="F34" s="20">
        <f>SUM($D$15:D34)</f>
        <v/>
      </c>
      <c r="G34" s="20">
        <f>G33-E34</f>
        <v/>
      </c>
    </row>
    <row r="35" ht="15" customHeight="1">
      <c r="B35" s="19" t="n">
        <v>21</v>
      </c>
      <c r="C35" s="20">
        <f>$C$11</f>
        <v/>
      </c>
      <c r="D35" s="21">
        <f>ABS(IPMT($C$9,B35,$C$10,-$C$5,0,0))</f>
        <v/>
      </c>
      <c r="E35" s="22">
        <f>ABS(PPMT($C$9,B35,$C$10,-$C$5,0,0))</f>
        <v/>
      </c>
      <c r="F35" s="20">
        <f>SUM($D$15:D35)</f>
        <v/>
      </c>
      <c r="G35" s="20">
        <f>G34-E35</f>
        <v/>
      </c>
    </row>
    <row r="36" ht="15" customHeight="1">
      <c r="B36" s="19" t="n">
        <v>22</v>
      </c>
      <c r="C36" s="20">
        <f>$C$11</f>
        <v/>
      </c>
      <c r="D36" s="21">
        <f>ABS(IPMT($C$9,B36,$C$10,-$C$5,0,0))</f>
        <v/>
      </c>
      <c r="E36" s="22">
        <f>ABS(PPMT($C$9,B36,$C$10,-$C$5,0,0))</f>
        <v/>
      </c>
      <c r="F36" s="20">
        <f>SUM($D$15:D36)</f>
        <v/>
      </c>
      <c r="G36" s="20">
        <f>G35-E36</f>
        <v/>
      </c>
    </row>
    <row r="37" ht="15" customHeight="1">
      <c r="B37" s="19" t="n">
        <v>23</v>
      </c>
      <c r="C37" s="20">
        <f>$C$11</f>
        <v/>
      </c>
      <c r="D37" s="21">
        <f>ABS(IPMT($C$9,B37,$C$10,-$C$5,0,0))</f>
        <v/>
      </c>
      <c r="E37" s="22">
        <f>ABS(PPMT($C$9,B37,$C$10,-$C$5,0,0))</f>
        <v/>
      </c>
      <c r="F37" s="20">
        <f>SUM($D$15:D37)</f>
        <v/>
      </c>
      <c r="G37" s="20">
        <f>G36-E37</f>
        <v/>
      </c>
    </row>
    <row r="38" ht="15" customHeight="1">
      <c r="B38" s="19" t="n">
        <v>24</v>
      </c>
      <c r="C38" s="20">
        <f>$C$11</f>
        <v/>
      </c>
      <c r="D38" s="21">
        <f>ABS(IPMT($C$9,B38,$C$10,-$C$5,0,0))</f>
        <v/>
      </c>
      <c r="E38" s="22">
        <f>ABS(PPMT($C$9,B38,$C$10,-$C$5,0,0))</f>
        <v/>
      </c>
      <c r="F38" s="20">
        <f>SUM($D$15:D38)</f>
        <v/>
      </c>
      <c r="G38" s="20">
        <f>G37-E38</f>
        <v/>
      </c>
    </row>
    <row r="39" ht="15" customHeight="1">
      <c r="B39" s="19" t="n">
        <v>25</v>
      </c>
      <c r="C39" s="20">
        <f>$C$11</f>
        <v/>
      </c>
      <c r="D39" s="21">
        <f>ABS(IPMT($C$9,B39,$C$10,-$C$5,0,0))</f>
        <v/>
      </c>
      <c r="E39" s="22">
        <f>ABS(PPMT($C$9,B39,$C$10,-$C$5,0,0))</f>
        <v/>
      </c>
      <c r="F39" s="20">
        <f>SUM($D$15:D39)</f>
        <v/>
      </c>
      <c r="G39" s="20">
        <f>G38-E39</f>
        <v/>
      </c>
    </row>
    <row r="40" ht="15" customHeight="1">
      <c r="B40" s="19" t="n">
        <v>26</v>
      </c>
      <c r="C40" s="20">
        <f>$C$11</f>
        <v/>
      </c>
      <c r="D40" s="21">
        <f>ABS(IPMT($C$9,B40,$C$10,-$C$5,0,0))</f>
        <v/>
      </c>
      <c r="E40" s="22">
        <f>ABS(PPMT($C$9,B40,$C$10,-$C$5,0,0))</f>
        <v/>
      </c>
      <c r="F40" s="20">
        <f>SUM($D$15:D40)</f>
        <v/>
      </c>
      <c r="G40" s="20">
        <f>G39-E40</f>
        <v/>
      </c>
    </row>
    <row r="41" ht="15" customHeight="1">
      <c r="B41" s="19" t="n">
        <v>27</v>
      </c>
      <c r="C41" s="20">
        <f>$C$11</f>
        <v/>
      </c>
      <c r="D41" s="21">
        <f>ABS(IPMT($C$9,B41,$C$10,-$C$5,0,0))</f>
        <v/>
      </c>
      <c r="E41" s="22">
        <f>ABS(PPMT($C$9,B41,$C$10,-$C$5,0,0))</f>
        <v/>
      </c>
      <c r="F41" s="20">
        <f>SUM($D$15:D41)</f>
        <v/>
      </c>
      <c r="G41" s="20">
        <f>G40-E41</f>
        <v/>
      </c>
    </row>
    <row r="42" ht="15" customHeight="1">
      <c r="B42" s="19" t="n">
        <v>28</v>
      </c>
      <c r="C42" s="20">
        <f>$C$11</f>
        <v/>
      </c>
      <c r="D42" s="21">
        <f>ABS(IPMT($C$9,B42,$C$10,-$C$5,0,0))</f>
        <v/>
      </c>
      <c r="E42" s="22">
        <f>ABS(PPMT($C$9,B42,$C$10,-$C$5,0,0))</f>
        <v/>
      </c>
      <c r="F42" s="20">
        <f>SUM($D$15:D42)</f>
        <v/>
      </c>
      <c r="G42" s="20">
        <f>G41-E42</f>
        <v/>
      </c>
    </row>
    <row r="43" ht="15" customHeight="1">
      <c r="B43" s="19" t="n">
        <v>29</v>
      </c>
      <c r="C43" s="20">
        <f>$C$11</f>
        <v/>
      </c>
      <c r="D43" s="21">
        <f>ABS(IPMT($C$9,B43,$C$10,-$C$5,0,0))</f>
        <v/>
      </c>
      <c r="E43" s="22">
        <f>ABS(PPMT($C$9,B43,$C$10,-$C$5,0,0))</f>
        <v/>
      </c>
      <c r="F43" s="20">
        <f>SUM($D$15:D43)</f>
        <v/>
      </c>
      <c r="G43" s="20">
        <f>G42-E43</f>
        <v/>
      </c>
    </row>
    <row r="44" ht="15" customHeight="1">
      <c r="B44" s="19" t="n">
        <v>30</v>
      </c>
      <c r="C44" s="20">
        <f>$C$11</f>
        <v/>
      </c>
      <c r="D44" s="21">
        <f>ABS(IPMT($C$9,B44,$C$10,-$C$5,0,0))</f>
        <v/>
      </c>
      <c r="E44" s="22">
        <f>ABS(PPMT($C$9,B44,$C$10,-$C$5,0,0))</f>
        <v/>
      </c>
      <c r="F44" s="20">
        <f>SUM($D$15:D44)</f>
        <v/>
      </c>
      <c r="G44" s="20">
        <f>G43-E44</f>
        <v/>
      </c>
    </row>
    <row r="45" ht="15" customHeight="1">
      <c r="B45" s="19" t="n">
        <v>31</v>
      </c>
      <c r="C45" s="20">
        <f>$C$11</f>
        <v/>
      </c>
      <c r="D45" s="21">
        <f>ABS(IPMT($C$9,B45,$C$10,-$C$5,0,0))</f>
        <v/>
      </c>
      <c r="E45" s="22">
        <f>ABS(PPMT($C$9,B45,$C$10,-$C$5,0,0))</f>
        <v/>
      </c>
      <c r="F45" s="20">
        <f>SUM($D$15:D45)</f>
        <v/>
      </c>
      <c r="G45" s="20">
        <f>G44-E45</f>
        <v/>
      </c>
    </row>
    <row r="46" ht="15" customHeight="1">
      <c r="B46" s="19" t="n">
        <v>32</v>
      </c>
      <c r="C46" s="20">
        <f>$C$11</f>
        <v/>
      </c>
      <c r="D46" s="21">
        <f>ABS(IPMT($C$9,B46,$C$10,-$C$5,0,0))</f>
        <v/>
      </c>
      <c r="E46" s="22">
        <f>ABS(PPMT($C$9,B46,$C$10,-$C$5,0,0))</f>
        <v/>
      </c>
      <c r="F46" s="20">
        <f>SUM($D$15:D46)</f>
        <v/>
      </c>
      <c r="G46" s="20">
        <f>G45-E46</f>
        <v/>
      </c>
    </row>
    <row r="47" ht="15" customHeight="1">
      <c r="B47" s="19" t="n">
        <v>33</v>
      </c>
      <c r="C47" s="20">
        <f>$C$11</f>
        <v/>
      </c>
      <c r="D47" s="21">
        <f>ABS(IPMT($C$9,B47,$C$10,-$C$5,0,0))</f>
        <v/>
      </c>
      <c r="E47" s="22">
        <f>ABS(PPMT($C$9,B47,$C$10,-$C$5,0,0))</f>
        <v/>
      </c>
      <c r="F47" s="20">
        <f>SUM($D$15:D47)</f>
        <v/>
      </c>
      <c r="G47" s="20">
        <f>G46-E47</f>
        <v/>
      </c>
    </row>
    <row r="48" ht="15" customHeight="1">
      <c r="B48" s="19" t="n">
        <v>34</v>
      </c>
      <c r="C48" s="20">
        <f>$C$11</f>
        <v/>
      </c>
      <c r="D48" s="21">
        <f>ABS(IPMT($C$9,B48,$C$10,-$C$5,0,0))</f>
        <v/>
      </c>
      <c r="E48" s="22">
        <f>ABS(PPMT($C$9,B48,$C$10,-$C$5,0,0))</f>
        <v/>
      </c>
      <c r="F48" s="20">
        <f>SUM($D$15:D48)</f>
        <v/>
      </c>
      <c r="G48" s="20">
        <f>G47-E48</f>
        <v/>
      </c>
    </row>
    <row r="49" ht="15" customHeight="1">
      <c r="B49" s="19" t="n">
        <v>35</v>
      </c>
      <c r="C49" s="20">
        <f>$C$11</f>
        <v/>
      </c>
      <c r="D49" s="21">
        <f>ABS(IPMT($C$9,B49,$C$10,-$C$5,0,0))</f>
        <v/>
      </c>
      <c r="E49" s="22">
        <f>ABS(PPMT($C$9,B49,$C$10,-$C$5,0,0))</f>
        <v/>
      </c>
      <c r="F49" s="20">
        <f>SUM($D$15:D49)</f>
        <v/>
      </c>
      <c r="G49" s="20">
        <f>G48-E49</f>
        <v/>
      </c>
    </row>
    <row r="50" ht="15" customHeight="1">
      <c r="B50" s="19" t="n">
        <v>36</v>
      </c>
      <c r="C50" s="20">
        <f>$C$11</f>
        <v/>
      </c>
      <c r="D50" s="21">
        <f>ABS(IPMT($C$9,B50,$C$10,-$C$5,0,0))</f>
        <v/>
      </c>
      <c r="E50" s="22">
        <f>ABS(PPMT($C$9,B50,$C$10,-$C$5,0,0))</f>
        <v/>
      </c>
      <c r="F50" s="20">
        <f>SUM($D$15:D50)</f>
        <v/>
      </c>
      <c r="G50" s="20">
        <f>G49-E50</f>
        <v/>
      </c>
    </row>
    <row r="51" ht="15" customHeight="1">
      <c r="B51" s="19" t="n">
        <v>37</v>
      </c>
      <c r="C51" s="20">
        <f>$C$11</f>
        <v/>
      </c>
      <c r="D51" s="21">
        <f>ABS(IPMT($C$9,B51,$C$10,-$C$5,0,0))</f>
        <v/>
      </c>
      <c r="E51" s="22">
        <f>ABS(PPMT($C$9,B51,$C$10,-$C$5,0,0))</f>
        <v/>
      </c>
      <c r="F51" s="20">
        <f>SUM($D$15:D51)</f>
        <v/>
      </c>
      <c r="G51" s="20">
        <f>G50-E51</f>
        <v/>
      </c>
    </row>
    <row r="52" ht="15" customHeight="1">
      <c r="B52" s="19" t="n">
        <v>38</v>
      </c>
      <c r="C52" s="20">
        <f>$C$11</f>
        <v/>
      </c>
      <c r="D52" s="21">
        <f>ABS(IPMT($C$9,B52,$C$10,-$C$5,0,0))</f>
        <v/>
      </c>
      <c r="E52" s="22">
        <f>ABS(PPMT($C$9,B52,$C$10,-$C$5,0,0))</f>
        <v/>
      </c>
      <c r="F52" s="20">
        <f>SUM($D$15:D52)</f>
        <v/>
      </c>
      <c r="G52" s="20">
        <f>G51-E52</f>
        <v/>
      </c>
    </row>
    <row r="53" ht="15" customHeight="1">
      <c r="B53" s="19" t="n">
        <v>39</v>
      </c>
      <c r="C53" s="20">
        <f>$C$11</f>
        <v/>
      </c>
      <c r="D53" s="21">
        <f>ABS(IPMT($C$9,B53,$C$10,-$C$5,0,0))</f>
        <v/>
      </c>
      <c r="E53" s="22">
        <f>ABS(PPMT($C$9,B53,$C$10,-$C$5,0,0))</f>
        <v/>
      </c>
      <c r="F53" s="20">
        <f>SUM($D$15:D53)</f>
        <v/>
      </c>
      <c r="G53" s="20">
        <f>G52-E53</f>
        <v/>
      </c>
    </row>
    <row r="54" ht="15" customHeight="1">
      <c r="B54" s="19" t="n">
        <v>40</v>
      </c>
      <c r="C54" s="20">
        <f>$C$11</f>
        <v/>
      </c>
      <c r="D54" s="21">
        <f>ABS(IPMT($C$9,B54,$C$10,-$C$5,0,0))</f>
        <v/>
      </c>
      <c r="E54" s="22">
        <f>ABS(PPMT($C$9,B54,$C$10,-$C$5,0,0))</f>
        <v/>
      </c>
      <c r="F54" s="20">
        <f>SUM($D$15:D54)</f>
        <v/>
      </c>
      <c r="G54" s="20">
        <f>G53-E54</f>
        <v/>
      </c>
    </row>
    <row r="55" ht="15" customHeight="1">
      <c r="B55" s="19" t="n">
        <v>41</v>
      </c>
      <c r="C55" s="20">
        <f>$C$11</f>
        <v/>
      </c>
      <c r="D55" s="21">
        <f>ABS(IPMT($C$9,B55,$C$10,-$C$5,0,0))</f>
        <v/>
      </c>
      <c r="E55" s="22">
        <f>ABS(PPMT($C$9,B55,$C$10,-$C$5,0,0))</f>
        <v/>
      </c>
      <c r="F55" s="20">
        <f>SUM($D$15:D55)</f>
        <v/>
      </c>
      <c r="G55" s="20">
        <f>G54-E55</f>
        <v/>
      </c>
    </row>
    <row r="56" ht="15" customHeight="1">
      <c r="B56" s="19" t="n">
        <v>42</v>
      </c>
      <c r="C56" s="20">
        <f>$C$11</f>
        <v/>
      </c>
      <c r="D56" s="21">
        <f>ABS(IPMT($C$9,B56,$C$10,-$C$5,0,0))</f>
        <v/>
      </c>
      <c r="E56" s="22">
        <f>ABS(PPMT($C$9,B56,$C$10,-$C$5,0,0))</f>
        <v/>
      </c>
      <c r="F56" s="20">
        <f>SUM($D$15:D56)</f>
        <v/>
      </c>
      <c r="G56" s="20">
        <f>G55-E56</f>
        <v/>
      </c>
    </row>
    <row r="57" ht="15" customHeight="1">
      <c r="B57" s="19" t="n">
        <v>43</v>
      </c>
      <c r="C57" s="20">
        <f>$C$11</f>
        <v/>
      </c>
      <c r="D57" s="21">
        <f>ABS(IPMT($C$9,B57,$C$10,-$C$5,0,0))</f>
        <v/>
      </c>
      <c r="E57" s="22">
        <f>ABS(PPMT($C$9,B57,$C$10,-$C$5,0,0))</f>
        <v/>
      </c>
      <c r="F57" s="20">
        <f>SUM($D$15:D57)</f>
        <v/>
      </c>
      <c r="G57" s="20">
        <f>G56-E57</f>
        <v/>
      </c>
    </row>
    <row r="58" ht="15" customHeight="1">
      <c r="B58" s="19" t="n">
        <v>44</v>
      </c>
      <c r="C58" s="20">
        <f>$C$11</f>
        <v/>
      </c>
      <c r="D58" s="21">
        <f>ABS(IPMT($C$9,B58,$C$10,-$C$5,0,0))</f>
        <v/>
      </c>
      <c r="E58" s="22">
        <f>ABS(PPMT($C$9,B58,$C$10,-$C$5,0,0))</f>
        <v/>
      </c>
      <c r="F58" s="20">
        <f>SUM($D$15:D58)</f>
        <v/>
      </c>
      <c r="G58" s="20">
        <f>G57-E58</f>
        <v/>
      </c>
    </row>
    <row r="59" ht="15" customHeight="1">
      <c r="B59" s="19" t="n">
        <v>45</v>
      </c>
      <c r="C59" s="20">
        <f>$C$11</f>
        <v/>
      </c>
      <c r="D59" s="21">
        <f>ABS(IPMT($C$9,B59,$C$10,-$C$5,0,0))</f>
        <v/>
      </c>
      <c r="E59" s="22">
        <f>ABS(PPMT($C$9,B59,$C$10,-$C$5,0,0))</f>
        <v/>
      </c>
      <c r="F59" s="20">
        <f>SUM($D$15:D59)</f>
        <v/>
      </c>
      <c r="G59" s="20">
        <f>G58-E59</f>
        <v/>
      </c>
    </row>
    <row r="60" ht="15" customHeight="1">
      <c r="B60" s="19" t="n">
        <v>46</v>
      </c>
      <c r="C60" s="20">
        <f>$C$11</f>
        <v/>
      </c>
      <c r="D60" s="21">
        <f>ABS(IPMT($C$9,B60,$C$10,-$C$5,0,0))</f>
        <v/>
      </c>
      <c r="E60" s="22">
        <f>ABS(PPMT($C$9,B60,$C$10,-$C$5,0,0))</f>
        <v/>
      </c>
      <c r="F60" s="20">
        <f>SUM($D$15:D60)</f>
        <v/>
      </c>
      <c r="G60" s="20">
        <f>G59-E60</f>
        <v/>
      </c>
    </row>
    <row r="61" ht="15" customHeight="1">
      <c r="B61" s="19" t="n">
        <v>47</v>
      </c>
      <c r="C61" s="20">
        <f>$C$11</f>
        <v/>
      </c>
      <c r="D61" s="21">
        <f>ABS(IPMT($C$9,B61,$C$10,-$C$5,0,0))</f>
        <v/>
      </c>
      <c r="E61" s="22">
        <f>ABS(PPMT($C$9,B61,$C$10,-$C$5,0,0))</f>
        <v/>
      </c>
      <c r="F61" s="20">
        <f>SUM($D$15:D61)</f>
        <v/>
      </c>
      <c r="G61" s="20">
        <f>G60-E61</f>
        <v/>
      </c>
    </row>
    <row r="62" ht="15" customHeight="1">
      <c r="B62" s="19" t="n">
        <v>48</v>
      </c>
      <c r="C62" s="20">
        <f>$C$11</f>
        <v/>
      </c>
      <c r="D62" s="21">
        <f>ABS(IPMT($C$9,B62,$C$10,-$C$5,0,0))</f>
        <v/>
      </c>
      <c r="E62" s="22">
        <f>ABS(PPMT($C$9,B62,$C$10,-$C$5,0,0))</f>
        <v/>
      </c>
      <c r="F62" s="20">
        <f>SUM($D$15:D62)</f>
        <v/>
      </c>
      <c r="G62" s="20">
        <f>G61-E62</f>
        <v/>
      </c>
    </row>
    <row r="63" ht="15" customHeight="1">
      <c r="B63" s="19" t="n">
        <v>49</v>
      </c>
      <c r="C63" s="20">
        <f>$C$11</f>
        <v/>
      </c>
      <c r="D63" s="21">
        <f>ABS(IPMT($C$9,B63,$C$10,-$C$5,0,0))</f>
        <v/>
      </c>
      <c r="E63" s="22">
        <f>ABS(PPMT($C$9,B63,$C$10,-$C$5,0,0))</f>
        <v/>
      </c>
      <c r="F63" s="20">
        <f>SUM($D$15:D63)</f>
        <v/>
      </c>
      <c r="G63" s="20">
        <f>G62-E63</f>
        <v/>
      </c>
    </row>
    <row r="64" ht="15" customHeight="1">
      <c r="B64" s="19" t="n">
        <v>50</v>
      </c>
      <c r="C64" s="20">
        <f>$C$11</f>
        <v/>
      </c>
      <c r="D64" s="21">
        <f>ABS(IPMT($C$9,B64,$C$10,-$C$5,0,0))</f>
        <v/>
      </c>
      <c r="E64" s="22">
        <f>ABS(PPMT($C$9,B64,$C$10,-$C$5,0,0))</f>
        <v/>
      </c>
      <c r="F64" s="20">
        <f>SUM($D$15:D64)</f>
        <v/>
      </c>
      <c r="G64" s="20">
        <f>G63-E64</f>
        <v/>
      </c>
    </row>
    <row r="65" ht="15" customHeight="1">
      <c r="B65" s="19" t="n">
        <v>51</v>
      </c>
      <c r="C65" s="20">
        <f>$C$11</f>
        <v/>
      </c>
      <c r="D65" s="21">
        <f>ABS(IPMT($C$9,B65,$C$10,-$C$5,0,0))</f>
        <v/>
      </c>
      <c r="E65" s="22">
        <f>ABS(PPMT($C$9,B65,$C$10,-$C$5,0,0))</f>
        <v/>
      </c>
      <c r="F65" s="20">
        <f>SUM($D$15:D65)</f>
        <v/>
      </c>
      <c r="G65" s="20">
        <f>G64-E65</f>
        <v/>
      </c>
    </row>
    <row r="66" ht="15" customHeight="1">
      <c r="B66" s="19" t="n">
        <v>52</v>
      </c>
      <c r="C66" s="20">
        <f>$C$11</f>
        <v/>
      </c>
      <c r="D66" s="21">
        <f>ABS(IPMT($C$9,B66,$C$10,-$C$5,0,0))</f>
        <v/>
      </c>
      <c r="E66" s="22">
        <f>ABS(PPMT($C$9,B66,$C$10,-$C$5,0,0))</f>
        <v/>
      </c>
      <c r="F66" s="20">
        <f>SUM($D$15:D66)</f>
        <v/>
      </c>
      <c r="G66" s="20">
        <f>G65-E66</f>
        <v/>
      </c>
    </row>
    <row r="67" ht="15" customHeight="1">
      <c r="B67" s="19" t="n">
        <v>53</v>
      </c>
      <c r="C67" s="20">
        <f>$C$11</f>
        <v/>
      </c>
      <c r="D67" s="21">
        <f>ABS(IPMT($C$9,B67,$C$10,-$C$5,0,0))</f>
        <v/>
      </c>
      <c r="E67" s="22">
        <f>ABS(PPMT($C$9,B67,$C$10,-$C$5,0,0))</f>
        <v/>
      </c>
      <c r="F67" s="20">
        <f>SUM($D$15:D67)</f>
        <v/>
      </c>
      <c r="G67" s="20">
        <f>G66-E67</f>
        <v/>
      </c>
    </row>
    <row r="68" ht="15" customHeight="1">
      <c r="B68" s="19" t="n">
        <v>54</v>
      </c>
      <c r="C68" s="20">
        <f>$C$11</f>
        <v/>
      </c>
      <c r="D68" s="21">
        <f>ABS(IPMT($C$9,B68,$C$10,-$C$5,0,0))</f>
        <v/>
      </c>
      <c r="E68" s="22">
        <f>ABS(PPMT($C$9,B68,$C$10,-$C$5,0,0))</f>
        <v/>
      </c>
      <c r="F68" s="20">
        <f>SUM($D$15:D68)</f>
        <v/>
      </c>
      <c r="G68" s="20">
        <f>G67-E68</f>
        <v/>
      </c>
    </row>
    <row r="69" ht="15" customHeight="1">
      <c r="B69" s="19" t="n">
        <v>55</v>
      </c>
      <c r="C69" s="20">
        <f>$C$11</f>
        <v/>
      </c>
      <c r="D69" s="21">
        <f>ABS(IPMT($C$9,B69,$C$10,-$C$5,0,0))</f>
        <v/>
      </c>
      <c r="E69" s="22">
        <f>ABS(PPMT($C$9,B69,$C$10,-$C$5,0,0))</f>
        <v/>
      </c>
      <c r="F69" s="20">
        <f>SUM($D$15:D69)</f>
        <v/>
      </c>
      <c r="G69" s="20">
        <f>G68-E69</f>
        <v/>
      </c>
    </row>
    <row r="70" ht="15" customHeight="1">
      <c r="B70" s="19" t="n">
        <v>56</v>
      </c>
      <c r="C70" s="20">
        <f>$C$11</f>
        <v/>
      </c>
      <c r="D70" s="21">
        <f>ABS(IPMT($C$9,B70,$C$10,-$C$5,0,0))</f>
        <v/>
      </c>
      <c r="E70" s="22">
        <f>ABS(PPMT($C$9,B70,$C$10,-$C$5,0,0))</f>
        <v/>
      </c>
      <c r="F70" s="20">
        <f>SUM($D$15:D70)</f>
        <v/>
      </c>
      <c r="G70" s="20">
        <f>G69-E70</f>
        <v/>
      </c>
    </row>
    <row r="71" ht="15" customHeight="1">
      <c r="B71" s="19" t="n">
        <v>57</v>
      </c>
      <c r="C71" s="20">
        <f>$C$11</f>
        <v/>
      </c>
      <c r="D71" s="21">
        <f>ABS(IPMT($C$9,B71,$C$10,-$C$5,0,0))</f>
        <v/>
      </c>
      <c r="E71" s="22">
        <f>ABS(PPMT($C$9,B71,$C$10,-$C$5,0,0))</f>
        <v/>
      </c>
      <c r="F71" s="20">
        <f>SUM($D$15:D71)</f>
        <v/>
      </c>
      <c r="G71" s="20">
        <f>G70-E71</f>
        <v/>
      </c>
    </row>
    <row r="72" ht="15" customHeight="1">
      <c r="B72" s="19" t="n">
        <v>58</v>
      </c>
      <c r="C72" s="20">
        <f>$C$11</f>
        <v/>
      </c>
      <c r="D72" s="21">
        <f>ABS(IPMT($C$9,B72,$C$10,-$C$5,0,0))</f>
        <v/>
      </c>
      <c r="E72" s="22">
        <f>ABS(PPMT($C$9,B72,$C$10,-$C$5,0,0))</f>
        <v/>
      </c>
      <c r="F72" s="20">
        <f>SUM($D$15:D72)</f>
        <v/>
      </c>
      <c r="G72" s="20">
        <f>G71-E72</f>
        <v/>
      </c>
    </row>
    <row r="73" ht="15" customHeight="1">
      <c r="B73" s="19" t="n">
        <v>59</v>
      </c>
      <c r="C73" s="20">
        <f>$C$11</f>
        <v/>
      </c>
      <c r="D73" s="21">
        <f>ABS(IPMT($C$9,B73,$C$10,-$C$5,0,0))</f>
        <v/>
      </c>
      <c r="E73" s="22">
        <f>ABS(PPMT($C$9,B73,$C$10,-$C$5,0,0))</f>
        <v/>
      </c>
      <c r="F73" s="20">
        <f>SUM($D$15:D73)</f>
        <v/>
      </c>
      <c r="G73" s="20">
        <f>G72-E73</f>
        <v/>
      </c>
    </row>
    <row r="74" ht="15" customHeight="1">
      <c r="B74" s="19" t="n">
        <v>60</v>
      </c>
      <c r="C74" s="20">
        <f>$C$11</f>
        <v/>
      </c>
      <c r="D74" s="21">
        <f>ABS(IPMT($C$9,B74,$C$10,-$C$5,0,0))</f>
        <v/>
      </c>
      <c r="E74" s="22">
        <f>ABS(PPMT($C$9,B74,$C$10,-$C$5,0,0))</f>
        <v/>
      </c>
      <c r="F74" s="20">
        <f>SUM($D$15:D74)</f>
        <v/>
      </c>
      <c r="G74" s="20">
        <f>G73-E74</f>
        <v/>
      </c>
    </row>
    <row r="75">
      <c r="B75" s="4" t="inlineStr">
        <is>
          <t>TOTALS</t>
        </is>
      </c>
      <c r="C75" s="23">
        <f>SUM(C15:C74)</f>
        <v/>
      </c>
      <c r="D75" s="23">
        <f>SUM(D15:D74)</f>
        <v/>
      </c>
      <c r="E75" s="23">
        <f>SUM(E15:E74)</f>
        <v/>
      </c>
    </row>
    <row r="77" ht="20" customHeight="1">
      <c r="A77" s="3" t="inlineStr">
        <is>
          <t>💡  What to Notice</t>
        </is>
      </c>
    </row>
    <row r="78" ht="18" customHeight="1">
      <c r="B78" s="7" t="inlineStr">
        <is>
          <t>• In early payments, most of each payment is interest (red). In later payments, most is principal (green).</t>
        </is>
      </c>
    </row>
    <row r="79" ht="18" customHeight="1">
      <c r="B79" s="7" t="inlineStr">
        <is>
          <t>• The balance column decreases slowly at first, then faster — this is how amortization works.</t>
        </is>
      </c>
    </row>
    <row r="80" ht="18" customHeight="1">
      <c r="B80" s="7" t="inlineStr">
        <is>
          <t>• IPMT and PPMT always add up to the full monthly payment (try checking: C15 = D15 + E15).</t>
        </is>
      </c>
    </row>
  </sheetData>
  <mergeCells count="9">
    <mergeCell ref="B2:G2"/>
    <mergeCell ref="A4:H4"/>
    <mergeCell ref="B80:G80"/>
    <mergeCell ref="B75"/>
    <mergeCell ref="A77:H77"/>
    <mergeCell ref="B79:G79"/>
    <mergeCell ref="A13:H13"/>
    <mergeCell ref="A1:H1"/>
    <mergeCell ref="B78:G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4" customWidth="1" min="3" max="3"/>
    <col width="24" customWidth="1" min="4" max="4"/>
    <col width="5" customWidth="1" min="5" max="5"/>
  </cols>
  <sheetData>
    <row r="1" ht="30" customHeight="1">
      <c r="A1" s="1" t="inlineStr">
        <is>
          <t>Understanding PPMT and IPMT for Any Period</t>
        </is>
      </c>
    </row>
    <row r="2">
      <c r="B2" s="11" t="inlineStr">
        <is>
          <t>Enter any period number to see exactly how that single payment breaks down.</t>
        </is>
      </c>
    </row>
    <row r="4" ht="20" customHeight="1">
      <c r="A4" s="3" t="inlineStr">
        <is>
          <t>📥  Inputs (linked to Amortization sheet)</t>
        </is>
      </c>
    </row>
    <row r="5">
      <c r="B5" s="12" t="inlineStr">
        <is>
          <t>Periodic Rate</t>
        </is>
      </c>
      <c r="C5" s="24">
        <f>Amortization!C9</f>
        <v/>
      </c>
    </row>
    <row r="6">
      <c r="B6" s="12" t="inlineStr">
        <is>
          <t>Total Periods</t>
        </is>
      </c>
      <c r="C6" s="15">
        <f>Amortization!C10</f>
        <v/>
      </c>
    </row>
    <row r="7">
      <c r="B7" s="12" t="inlineStr">
        <is>
          <t>Loan Amount</t>
        </is>
      </c>
      <c r="C7" s="13">
        <f>Amortization!C5</f>
        <v/>
      </c>
    </row>
    <row r="9">
      <c r="B9" s="12" t="inlineStr">
        <is>
          <t>🔢 Enter Period to Inspect:</t>
        </is>
      </c>
      <c r="C9" s="25" t="n">
        <v>1</v>
      </c>
    </row>
    <row r="11" ht="20" customHeight="1">
      <c r="A11" s="3" t="inlineStr">
        <is>
          <t>📤  Breakdown for Period Entered Above</t>
        </is>
      </c>
    </row>
    <row r="12">
      <c r="B12" s="12" t="inlineStr">
        <is>
          <t>Interest Portion  [=IPMT(rate, per, nper, pv)]</t>
        </is>
      </c>
      <c r="C12" s="18">
        <f>ABS(IPMT(C5,C9,C6,-C7,0,0))</f>
        <v/>
      </c>
    </row>
    <row r="13">
      <c r="B13" s="12" t="inlineStr">
        <is>
          <t>Principal Portion  [=PPMT(rate, per, nper, pv)]</t>
        </is>
      </c>
      <c r="C13" s="18">
        <f>ABS(PPMT(C5,C9,C6,-C7,0,0))</f>
        <v/>
      </c>
    </row>
    <row r="14">
      <c r="B14" s="12" t="inlineStr">
        <is>
          <t>Total Payment (should = monthly payment)</t>
        </is>
      </c>
      <c r="C14" s="18">
        <f>C12+C13</f>
        <v/>
      </c>
    </row>
    <row r="15">
      <c r="B15" s="12" t="inlineStr">
        <is>
          <t>Interest % of This Payment</t>
        </is>
      </c>
      <c r="C15" s="26">
        <f>C12/C14</f>
        <v/>
      </c>
    </row>
    <row r="16">
      <c r="B16" s="12" t="inlineStr">
        <is>
          <t>Principal % of This Payment</t>
        </is>
      </c>
      <c r="C16" s="26">
        <f>C13/C14</f>
        <v/>
      </c>
    </row>
    <row r="18" ht="20" customHeight="1">
      <c r="A18" s="3" t="inlineStr">
        <is>
          <t>💡  Formula Syntax</t>
        </is>
      </c>
    </row>
    <row r="19" ht="18" customHeight="1">
      <c r="B19" s="27" t="inlineStr">
        <is>
          <t xml:space="preserve"> =IPMT(rate, per, nper, pv, [fv], [type])</t>
        </is>
      </c>
      <c r="C19" s="5" t="inlineStr">
        <is>
          <t>Interest portion of a specific payment</t>
        </is>
      </c>
    </row>
    <row r="20" ht="18" customHeight="1">
      <c r="B20" s="27" t="inlineStr">
        <is>
          <t xml:space="preserve"> =PPMT(rate, per, nper, pv, [fv], [type])</t>
        </is>
      </c>
      <c r="C20" s="5" t="inlineStr">
        <is>
          <t>Principal portion of a specific payment</t>
        </is>
      </c>
    </row>
    <row r="21" ht="18" customHeight="1">
      <c r="B21" s="27" t="inlineStr">
        <is>
          <t>per</t>
        </is>
      </c>
      <c r="C21" s="5" t="inlineStr">
        <is>
          <t>The specific payment number you want to analyze (1 = first payment, etc.)</t>
        </is>
      </c>
    </row>
    <row r="22" ht="18" customHeight="1">
      <c r="B22" s="27" t="inlineStr">
        <is>
          <t>Both return NEGATIVE values</t>
        </is>
      </c>
      <c r="C22" s="5" t="inlineStr">
        <is>
          <t>Use ABS() to display as positive numbers</t>
        </is>
      </c>
    </row>
    <row r="24" ht="20" customHeight="1">
      <c r="A24" s="3" t="inlineStr">
        <is>
          <t>✏️  Practice Tasks</t>
        </is>
      </c>
    </row>
    <row r="25" ht="18" customHeight="1">
      <c r="B25" s="7" t="inlineStr">
        <is>
          <t>1.  Enter period 1. What percentage of the first payment is interest?</t>
        </is>
      </c>
    </row>
    <row r="26" ht="18" customHeight="1">
      <c r="B26" s="7" t="inlineStr">
        <is>
          <t>2.  Enter period 30 (halfway through). How has the split changed?</t>
        </is>
      </c>
    </row>
    <row r="27" ht="18" customHeight="1">
      <c r="B27" s="7" t="inlineStr">
        <is>
          <t>3.  Enter period 60 (last payment). What percentage is principal?</t>
        </is>
      </c>
    </row>
    <row r="28" ht="18" customHeight="1">
      <c r="B28" s="7" t="inlineStr">
        <is>
          <t>4.  Try period 0 — what error do you get? Why must per start at 1?</t>
        </is>
      </c>
    </row>
  </sheetData>
  <mergeCells count="14">
    <mergeCell ref="C20:D20"/>
    <mergeCell ref="B28:D28"/>
    <mergeCell ref="A4:E4"/>
    <mergeCell ref="C21:D21"/>
    <mergeCell ref="A24:E24"/>
    <mergeCell ref="C19:D19"/>
    <mergeCell ref="A11:E11"/>
    <mergeCell ref="B26:D26"/>
    <mergeCell ref="B27:D27"/>
    <mergeCell ref="A1:E1"/>
    <mergeCell ref="C22:D22"/>
    <mergeCell ref="B25:D25"/>
    <mergeCell ref="A18:E18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2026-05-28T14:53:31Z</dcterms:created>
  <dcterms:modified xsi:type="dcterms:W3CDTF">2026-05-28T14:53:31Z</dcterms:modified>
</cp:coreProperties>
</file>