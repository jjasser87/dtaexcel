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preciation_Methods" sheetId="2" state="visible" r:id="rId2"/>
    <sheet name="DDB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F3F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name val="Calibri"/>
      <color rgb="007F3F00"/>
      <sz val="11"/>
    </font>
    <font>
      <name val="Calibri"/>
      <b val="1"/>
      <color rgb="00375623"/>
      <sz val="11"/>
    </font>
    <font>
      <name val="Calibri"/>
      <color rgb="00375623"/>
      <sz val="10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  <col width="5" customWidth="1" min="4" max="4"/>
  </cols>
  <sheetData>
    <row r="1" ht="30" customHeight="1">
      <c r="A1" s="1" t="inlineStr">
        <is>
          <t>rFLA300 — Chapter 11: Financial Models</t>
        </is>
      </c>
    </row>
    <row r="2" ht="18" customHeight="1">
      <c r="B2" s="2" t="inlineStr">
        <is>
          <t>Asset Depreciation — SLN, DB, and DDB</t>
        </is>
      </c>
    </row>
    <row r="4" ht="20" customHeight="1">
      <c r="A4" s="3" t="inlineStr">
        <is>
          <t>📋  File Contents</t>
        </is>
      </c>
    </row>
    <row r="5">
      <c r="B5" s="4" t="inlineStr">
        <is>
          <t>Sheet</t>
        </is>
      </c>
      <c r="C5" s="4" t="inlineStr">
        <is>
          <t>Purpose</t>
        </is>
      </c>
    </row>
    <row r="6">
      <c r="B6" s="5" t="inlineStr">
        <is>
          <t>Instructions</t>
        </is>
      </c>
      <c r="C6" s="5" t="inlineStr">
        <is>
          <t>Overview of file purpose and color key</t>
        </is>
      </c>
    </row>
    <row r="7">
      <c r="B7" s="5" t="inlineStr">
        <is>
          <t>Depreciation_Methods</t>
        </is>
      </c>
      <c r="C7" s="5" t="inlineStr">
        <is>
          <t>Compare SLN, DB, and DDB for the same asset</t>
        </is>
      </c>
    </row>
    <row r="8">
      <c r="B8" s="5" t="inlineStr">
        <is>
          <t>DDB_Schedule</t>
        </is>
      </c>
      <c r="C8" s="5" t="inlineStr">
        <is>
          <t>Year-by-year DDB depreciation table</t>
        </is>
      </c>
    </row>
    <row r="11" ht="20" customHeight="1">
      <c r="A11" s="3" t="inlineStr">
        <is>
          <t>🎨  Color Key</t>
        </is>
      </c>
    </row>
    <row r="12">
      <c r="B12" s="6" t="inlineStr">
        <is>
          <t xml:space="preserve">   Sample</t>
        </is>
      </c>
      <c r="C12" s="7" t="inlineStr">
        <is>
          <t>Input / Assumption cells — enter your values here</t>
        </is>
      </c>
    </row>
    <row r="13">
      <c r="B13" s="8" t="inlineStr">
        <is>
          <t xml:space="preserve">   Sample</t>
        </is>
      </c>
      <c r="C13" s="7" t="inlineStr">
        <is>
          <t>Result cells — calculated by Excel formulas</t>
        </is>
      </c>
    </row>
    <row r="14">
      <c r="B14" s="9" t="inlineStr">
        <is>
          <t xml:space="preserve">   Sample</t>
        </is>
      </c>
      <c r="C14" s="7" t="inlineStr">
        <is>
          <t>Labels — descriptions of each row</t>
        </is>
      </c>
    </row>
    <row r="15">
      <c r="B15" s="10" t="inlineStr">
        <is>
          <t xml:space="preserve">   Sample</t>
        </is>
      </c>
      <c r="C15" s="7" t="inlineStr">
        <is>
          <t>Section headers</t>
        </is>
      </c>
    </row>
  </sheetData>
  <mergeCells count="4">
    <mergeCell ref="A1:D1"/>
    <mergeCell ref="A4:D4"/>
    <mergeCell ref="B2:C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5" customWidth="1" min="5" max="5"/>
  </cols>
  <sheetData>
    <row r="1" ht="30" customHeight="1">
      <c r="A1" s="1" t="inlineStr">
        <is>
          <t>Depreciation Methods — SLN, DB, and DDB</t>
        </is>
      </c>
    </row>
    <row r="2">
      <c r="B2" s="11" t="inlineStr">
        <is>
          <t>Scenario: A manufacturing company buys equipment for $50,000 with a 5-year life and $5,000 salvage value.</t>
        </is>
      </c>
    </row>
    <row r="4" ht="20" customHeight="1">
      <c r="A4" s="3" t="inlineStr">
        <is>
          <t>📥  Asset Details</t>
        </is>
      </c>
    </row>
    <row r="5">
      <c r="B5" s="12" t="inlineStr">
        <is>
          <t>Cost (Original Value)</t>
        </is>
      </c>
      <c r="C5" s="13" t="n">
        <v>50000</v>
      </c>
    </row>
    <row r="6">
      <c r="B6" s="12" t="inlineStr">
        <is>
          <t>Salvage Value</t>
        </is>
      </c>
      <c r="C6" s="13" t="n">
        <v>5000</v>
      </c>
    </row>
    <row r="7">
      <c r="B7" s="12" t="inlineStr">
        <is>
          <t>Useful Life (Years)</t>
        </is>
      </c>
      <c r="C7" s="14" t="n">
        <v>5</v>
      </c>
    </row>
    <row r="8">
      <c r="B8" s="12" t="inlineStr">
        <is>
          <t>Period to Inspect</t>
        </is>
      </c>
      <c r="C8" s="14" t="n">
        <v>1</v>
      </c>
    </row>
    <row r="10" ht="20" customHeight="1">
      <c r="A10" s="3" t="inlineStr">
        <is>
          <t>📊  Method 1: Straight-Line Depreciation  [SLN]</t>
        </is>
      </c>
    </row>
    <row r="11">
      <c r="B11" s="11" t="inlineStr">
        <is>
          <t xml:space="preserve">  =SLN(cost, salvage, life)  →  Same amount every year</t>
        </is>
      </c>
    </row>
    <row r="12">
      <c r="B12" s="12" t="inlineStr">
        <is>
          <t>Annual Depreciation (every year)</t>
        </is>
      </c>
      <c r="C12" s="15">
        <f>SLN(C5,C6,C7)</f>
        <v/>
      </c>
    </row>
    <row r="13">
      <c r="B13" s="12" t="inlineStr">
        <is>
          <t>Total Depreciation over Life</t>
        </is>
      </c>
      <c r="C13" s="15">
        <f>C12*C7</f>
        <v/>
      </c>
    </row>
    <row r="14">
      <c r="B14" s="12" t="inlineStr">
        <is>
          <t>Book Value at End of Life</t>
        </is>
      </c>
      <c r="C14" s="15">
        <f>C5-C13</f>
        <v/>
      </c>
    </row>
    <row r="16" ht="20" customHeight="1">
      <c r="A16" s="3" t="inlineStr">
        <is>
          <t>📊  Method 2: Declining Balance  [DB]</t>
        </is>
      </c>
    </row>
    <row r="17">
      <c r="B17" s="11" t="inlineStr">
        <is>
          <t xml:space="preserve">  =DB(cost, salvage, life, period, [month])  →  Higher depreciation in early years</t>
        </is>
      </c>
    </row>
    <row r="18">
      <c r="B18" s="12" t="inlineStr">
        <is>
          <t>Depreciation in Period (from cell C8)</t>
        </is>
      </c>
      <c r="C18" s="15">
        <f>DB(C5,C6,C7,C8)</f>
        <v/>
      </c>
    </row>
    <row r="19">
      <c r="B19" s="12" t="inlineStr">
        <is>
          <t>Period 1 (first year)</t>
        </is>
      </c>
      <c r="C19" s="15">
        <f>DB(C5,C6,C7,1)</f>
        <v/>
      </c>
    </row>
    <row r="20">
      <c r="B20" s="12" t="inlineStr">
        <is>
          <t>Period 5 (last year)</t>
        </is>
      </c>
      <c r="C20" s="15">
        <f>DB(C5,C6,C7,5)</f>
        <v/>
      </c>
    </row>
    <row r="21">
      <c r="B21" s="12" t="inlineStr">
        <is>
          <t>DB Fixed Rate Used</t>
        </is>
      </c>
      <c r="C21" s="16">
        <f>1-(C6/C5)^(1/C7)</f>
        <v/>
      </c>
    </row>
    <row r="23" ht="20" customHeight="1">
      <c r="A23" s="3" t="inlineStr">
        <is>
          <t>📊  Method 3: Double Declining Balance  [DDB]</t>
        </is>
      </c>
    </row>
    <row r="24">
      <c r="B24" s="11" t="inlineStr">
        <is>
          <t xml:space="preserve">  =DDB(cost, salvage, life, period, [factor])  →  Fastest depreciation; factor=2 by default</t>
        </is>
      </c>
    </row>
    <row r="25">
      <c r="B25" s="12" t="inlineStr">
        <is>
          <t>Depreciation in Period (from cell C8)</t>
        </is>
      </c>
      <c r="C25" s="15">
        <f>DDB(C5,C6,C7,C8,2)</f>
        <v/>
      </c>
    </row>
    <row r="26">
      <c r="B26" s="12" t="inlineStr">
        <is>
          <t>Period 1 (first year)</t>
        </is>
      </c>
      <c r="C26" s="15">
        <f>DDB(C5,C6,C7,1,2)</f>
        <v/>
      </c>
    </row>
    <row r="27">
      <c r="B27" s="12" t="inlineStr">
        <is>
          <t>Period 5 (last year)</t>
        </is>
      </c>
      <c r="C27" s="15">
        <f>DDB(C5,C6,C7,5,2)</f>
        <v/>
      </c>
    </row>
    <row r="29" ht="20" customHeight="1">
      <c r="A29" s="3" t="inlineStr">
        <is>
          <t>📋  Quick Method Comparison</t>
        </is>
      </c>
    </row>
    <row r="30">
      <c r="B30" s="10" t="inlineStr">
        <is>
          <t>Method</t>
        </is>
      </c>
      <c r="C30" s="10" t="inlineStr">
        <is>
          <t>Year 1</t>
        </is>
      </c>
      <c r="D30" s="10" t="inlineStr">
        <is>
          <t>Year 5</t>
        </is>
      </c>
      <c r="E30" s="10" t="inlineStr">
        <is>
          <t>Best Used When</t>
        </is>
      </c>
    </row>
    <row r="31" ht="20" customHeight="1">
      <c r="B31" s="17" t="inlineStr">
        <is>
          <t>SLN</t>
        </is>
      </c>
      <c r="C31" s="18">
        <f>SLN($C$5,$C$6,$C$7)</f>
        <v/>
      </c>
      <c r="D31" s="18">
        <f>SLN($C$5,$C$6,$C$7)</f>
        <v/>
      </c>
      <c r="E31" s="19" t="inlineStr">
        <is>
          <t>Asset wears evenly; simple accounting</t>
        </is>
      </c>
    </row>
    <row r="32" ht="20" customHeight="1">
      <c r="B32" s="17" t="inlineStr">
        <is>
          <t>DB</t>
        </is>
      </c>
      <c r="C32" s="18">
        <f>DB($C$5,$C$6,$C$7,1)</f>
        <v/>
      </c>
      <c r="D32" s="18">
        <f>DB($C$5,$C$6,$C$7,5)</f>
        <v/>
      </c>
      <c r="E32" s="19" t="inlineStr">
        <is>
          <t>Asset loses more value early; matches IRS tables</t>
        </is>
      </c>
    </row>
    <row r="33" ht="20" customHeight="1">
      <c r="B33" s="17" t="inlineStr">
        <is>
          <t>DDB</t>
        </is>
      </c>
      <c r="C33" s="18">
        <f>DDB($C$5,$C$6,$C$7,1,2)</f>
        <v/>
      </c>
      <c r="D33" s="18">
        <f>DDB($C$5,$C$6,$C$7,5,2)</f>
        <v/>
      </c>
      <c r="E33" s="19" t="inlineStr">
        <is>
          <t>Maximum early deduction; tech assets</t>
        </is>
      </c>
    </row>
    <row r="35" ht="20" customHeight="1">
      <c r="A35" s="3" t="inlineStr">
        <is>
          <t>✏️  Practice Tasks</t>
        </is>
      </c>
    </row>
    <row r="36" ht="18" customHeight="1">
      <c r="B36" s="7" t="inlineStr">
        <is>
          <t>1.  Change Period to 3. Compare the depreciation across all three methods.</t>
        </is>
      </c>
    </row>
    <row r="37" ht="18" customHeight="1">
      <c r="B37" s="7" t="inlineStr">
        <is>
          <t>2.  Change salvage value to $0. How does DDB behave in the last period?</t>
        </is>
      </c>
    </row>
    <row r="38" ht="18" customHeight="1">
      <c r="B38" s="7" t="inlineStr">
        <is>
          <t>3.  Change useful life to 10 years. Which method gives the biggest deduction in year 1?</t>
        </is>
      </c>
    </row>
    <row r="39" ht="18" customHeight="1">
      <c r="B39" s="7" t="inlineStr">
        <is>
          <t>4.  Use DDB with factor=1.5 (150% declining balance). Compare to factor=2.</t>
        </is>
      </c>
    </row>
  </sheetData>
  <mergeCells count="15">
    <mergeCell ref="B11:D11"/>
    <mergeCell ref="A29:E29"/>
    <mergeCell ref="A4:E4"/>
    <mergeCell ref="A35:E35"/>
    <mergeCell ref="B36:D36"/>
    <mergeCell ref="B37:D37"/>
    <mergeCell ref="A16:E16"/>
    <mergeCell ref="A10:E10"/>
    <mergeCell ref="B17:D17"/>
    <mergeCell ref="A1:E1"/>
    <mergeCell ref="A23:E23"/>
    <mergeCell ref="B39:D39"/>
    <mergeCell ref="B38:D38"/>
    <mergeCell ref="B24:D2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5" customWidth="1" min="8" max="8"/>
  </cols>
  <sheetData>
    <row r="1" ht="30" customHeight="1">
      <c r="A1" s="1" t="inlineStr">
        <is>
          <t>Year-by-Year Depreciation Comparison Schedule</t>
        </is>
      </c>
    </row>
    <row r="2">
      <c r="B2" s="11" t="inlineStr">
        <is>
          <t>This table shows all three methods side by side for every year of the asset's life. (Linked to Depreciation_Methods inputs.)</t>
        </is>
      </c>
    </row>
    <row r="4" ht="20" customHeight="1">
      <c r="A4" s="3" t="inlineStr">
        <is>
          <t>📋  Annual Depreciation Table</t>
        </is>
      </c>
    </row>
    <row r="5">
      <c r="B5" s="10" t="inlineStr">
        <is>
          <t>Year</t>
        </is>
      </c>
      <c r="C5" s="10" t="inlineStr">
        <is>
          <t>SLN</t>
        </is>
      </c>
      <c r="D5" s="10" t="inlineStr">
        <is>
          <t>DB</t>
        </is>
      </c>
      <c r="E5" s="10" t="inlineStr">
        <is>
          <t>DDB</t>
        </is>
      </c>
      <c r="F5" s="10" t="inlineStr">
        <is>
          <t>SLN Book Value</t>
        </is>
      </c>
      <c r="G5" s="10" t="inlineStr">
        <is>
          <t>DB Book Value</t>
        </is>
      </c>
      <c r="H5" s="10" t="inlineStr">
        <is>
          <t>DDB Book Value</t>
        </is>
      </c>
    </row>
    <row r="6" ht="18" customHeight="1">
      <c r="B6" s="20" t="n">
        <v>1</v>
      </c>
      <c r="C6" s="21">
        <f>SLN(Depreciation_Methods!$C$5,Depreciation_Methods!$C$6,Depreciation_Methods!$C$7)</f>
        <v/>
      </c>
      <c r="D6" s="21">
        <f>DB(Depreciation_Methods!$C$5,Depreciation_Methods!$C$6,Depreciation_Methods!$C$7,1)</f>
        <v/>
      </c>
      <c r="E6" s="21">
        <f>DDB(Depreciation_Methods!$C$5,Depreciation_Methods!$C$6,Depreciation_Methods!$C$7,1,2)</f>
        <v/>
      </c>
      <c r="F6" s="22">
        <f>Depreciation_Methods!$C$5-C6</f>
        <v/>
      </c>
      <c r="G6" s="22">
        <f>Depreciation_Methods!$C$5-D6</f>
        <v/>
      </c>
      <c r="H6" s="22">
        <f>Depreciation_Methods!$C$5-E6</f>
        <v/>
      </c>
    </row>
    <row r="7" ht="18" customHeight="1">
      <c r="B7" s="20" t="n">
        <v>2</v>
      </c>
      <c r="C7" s="21">
        <f>SLN(Depreciation_Methods!$C$5,Depreciation_Methods!$C$6,Depreciation_Methods!$C$7)</f>
        <v/>
      </c>
      <c r="D7" s="21">
        <f>DB(Depreciation_Methods!$C$5,Depreciation_Methods!$C$6,Depreciation_Methods!$C$7,2)</f>
        <v/>
      </c>
      <c r="E7" s="21">
        <f>DDB(Depreciation_Methods!$C$5,Depreciation_Methods!$C$6,Depreciation_Methods!$C$7,2,2)</f>
        <v/>
      </c>
      <c r="F7" s="22">
        <f>F6-C7</f>
        <v/>
      </c>
      <c r="G7" s="22">
        <f>G6-D7</f>
        <v/>
      </c>
      <c r="H7" s="22">
        <f>H6-E7</f>
        <v/>
      </c>
    </row>
    <row r="8" ht="18" customHeight="1">
      <c r="B8" s="20" t="n">
        <v>3</v>
      </c>
      <c r="C8" s="21">
        <f>SLN(Depreciation_Methods!$C$5,Depreciation_Methods!$C$6,Depreciation_Methods!$C$7)</f>
        <v/>
      </c>
      <c r="D8" s="21">
        <f>DB(Depreciation_Methods!$C$5,Depreciation_Methods!$C$6,Depreciation_Methods!$C$7,3)</f>
        <v/>
      </c>
      <c r="E8" s="21">
        <f>DDB(Depreciation_Methods!$C$5,Depreciation_Methods!$C$6,Depreciation_Methods!$C$7,3,2)</f>
        <v/>
      </c>
      <c r="F8" s="22">
        <f>F7-C8</f>
        <v/>
      </c>
      <c r="G8" s="22">
        <f>G7-D8</f>
        <v/>
      </c>
      <c r="H8" s="22">
        <f>H7-E8</f>
        <v/>
      </c>
    </row>
    <row r="9" ht="18" customHeight="1">
      <c r="B9" s="20" t="n">
        <v>4</v>
      </c>
      <c r="C9" s="21">
        <f>SLN(Depreciation_Methods!$C$5,Depreciation_Methods!$C$6,Depreciation_Methods!$C$7)</f>
        <v/>
      </c>
      <c r="D9" s="21">
        <f>DB(Depreciation_Methods!$C$5,Depreciation_Methods!$C$6,Depreciation_Methods!$C$7,4)</f>
        <v/>
      </c>
      <c r="E9" s="21">
        <f>DDB(Depreciation_Methods!$C$5,Depreciation_Methods!$C$6,Depreciation_Methods!$C$7,4,2)</f>
        <v/>
      </c>
      <c r="F9" s="22">
        <f>F8-C9</f>
        <v/>
      </c>
      <c r="G9" s="22">
        <f>G8-D9</f>
        <v/>
      </c>
      <c r="H9" s="22">
        <f>H8-E9</f>
        <v/>
      </c>
    </row>
    <row r="10" ht="18" customHeight="1">
      <c r="B10" s="20" t="n">
        <v>5</v>
      </c>
      <c r="C10" s="21">
        <f>SLN(Depreciation_Methods!$C$5,Depreciation_Methods!$C$6,Depreciation_Methods!$C$7)</f>
        <v/>
      </c>
      <c r="D10" s="21">
        <f>DB(Depreciation_Methods!$C$5,Depreciation_Methods!$C$6,Depreciation_Methods!$C$7,5)</f>
        <v/>
      </c>
      <c r="E10" s="21">
        <f>DDB(Depreciation_Methods!$C$5,Depreciation_Methods!$C$6,Depreciation_Methods!$C$7,5,2)</f>
        <v/>
      </c>
      <c r="F10" s="22">
        <f>F9-C10</f>
        <v/>
      </c>
      <c r="G10" s="22">
        <f>G9-D10</f>
        <v/>
      </c>
      <c r="H10" s="22">
        <f>H9-E10</f>
        <v/>
      </c>
    </row>
    <row r="12">
      <c r="B12" s="23" t="inlineStr">
        <is>
          <t>Total</t>
        </is>
      </c>
      <c r="C12" s="24">
        <f>SUM(C6:C10)</f>
        <v/>
      </c>
      <c r="D12" s="24">
        <f>SUM(D6:D10)</f>
        <v/>
      </c>
      <c r="E12" s="24">
        <f>SUM(E6:E10)</f>
        <v/>
      </c>
    </row>
    <row r="14" ht="20" customHeight="1">
      <c r="A14" s="3" t="inlineStr">
        <is>
          <t>💡  Key Insight</t>
        </is>
      </c>
    </row>
    <row r="15" ht="18" customHeight="1">
      <c r="B15" s="7" t="inlineStr">
        <is>
          <t>• All three methods depreciate the same total amount (cost − salvage) over the asset's life.</t>
        </is>
      </c>
    </row>
    <row r="16" ht="18" customHeight="1">
      <c r="B16" s="7" t="inlineStr">
        <is>
          <t>• They ONLY differ in TIMING — when the deductions occur.</t>
        </is>
      </c>
    </row>
    <row r="17" ht="18" customHeight="1">
      <c r="B17" s="7" t="inlineStr">
        <is>
          <t>• Faster depreciation (DDB) = bigger deductions early = lower taxes now = better cash flow today.</t>
        </is>
      </c>
    </row>
    <row r="18" ht="18" customHeight="1">
      <c r="B18" s="7" t="inlineStr">
        <is>
          <t>• SLN gives predictable, stable expense. DB/DDB match accelerated wear on technology and vehicles.</t>
        </is>
      </c>
    </row>
  </sheetData>
  <mergeCells count="8">
    <mergeCell ref="B2:G2"/>
    <mergeCell ref="A4:H4"/>
    <mergeCell ref="B16:G16"/>
    <mergeCell ref="B17:G17"/>
    <mergeCell ref="A14:H14"/>
    <mergeCell ref="B18:G18"/>
    <mergeCell ref="A1:H1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2026-05-28T14:53:31Z</dcterms:created>
  <dcterms:modified xsi:type="dcterms:W3CDTF">2026-05-28T14:53:31Z</dcterms:modified>
</cp:coreProperties>
</file>