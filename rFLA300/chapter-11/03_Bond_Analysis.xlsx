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V_Bond" sheetId="2" state="visible" r:id="rId2"/>
    <sheet name="FV_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7F3F00"/>
      <sz val="10"/>
    </font>
    <font>
      <name val="Calibri"/>
      <b val="1"/>
      <color rgb="00375623"/>
      <sz val="10"/>
    </font>
    <font>
      <name val="Calibri"/>
      <i val="1"/>
      <color rgb="00595959"/>
      <sz val="9"/>
    </font>
    <font>
      <name val="Calibri"/>
      <color rgb="007F3F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BDD7EE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10" fontId="9" fillId="4" borderId="1" applyAlignment="1" pivotButton="0" quotePrefix="0" xfId="0">
      <alignment horizontal="center" vertical="center" wrapText="1"/>
    </xf>
    <xf numFmtId="1" fontId="9" fillId="4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0" customWidth="1" min="3" max="3"/>
    <col width="5" customWidth="1" min="4" max="4"/>
  </cols>
  <sheetData>
    <row r="1" ht="30" customHeight="1">
      <c r="A1" s="1" t="inlineStr">
        <is>
          <t>rFLA300 — Chapter 11: Financial Models</t>
        </is>
      </c>
    </row>
    <row r="2" ht="18" customHeight="1">
      <c r="B2" s="2" t="inlineStr">
        <is>
          <t>Bond Analysis — PV and FV</t>
        </is>
      </c>
    </row>
    <row r="4" ht="20" customHeight="1">
      <c r="A4" s="3" t="inlineStr">
        <is>
          <t>📋  File Contents</t>
        </is>
      </c>
    </row>
    <row r="5">
      <c r="B5" s="4" t="inlineStr">
        <is>
          <t>Sheet</t>
        </is>
      </c>
      <c r="C5" s="4" t="inlineStr">
        <is>
          <t>Purpose</t>
        </is>
      </c>
    </row>
    <row r="6">
      <c r="B6" s="5" t="inlineStr">
        <is>
          <t>Instructions</t>
        </is>
      </c>
      <c r="C6" s="5" t="inlineStr">
        <is>
          <t>Overview of file purpose and color key</t>
        </is>
      </c>
    </row>
    <row r="7">
      <c r="B7" s="5" t="inlineStr">
        <is>
          <t>PV_Bond</t>
        </is>
      </c>
      <c r="C7" s="5" t="inlineStr">
        <is>
          <t>Calculate fair price of a bond using PV</t>
        </is>
      </c>
    </row>
    <row r="8">
      <c r="B8" s="5" t="inlineStr">
        <is>
          <t>FV_Savings</t>
        </is>
      </c>
      <c r="C8" s="5" t="inlineStr">
        <is>
          <t>Calculate future value of savings / lump-sum using FV</t>
        </is>
      </c>
    </row>
    <row r="11" ht="20" customHeight="1">
      <c r="A11" s="3" t="inlineStr">
        <is>
          <t>🎨  Color Key</t>
        </is>
      </c>
    </row>
    <row r="12">
      <c r="B12" s="6" t="inlineStr">
        <is>
          <t xml:space="preserve">   Sample</t>
        </is>
      </c>
      <c r="C12" s="7" t="inlineStr">
        <is>
          <t>Input / Assumption cells — enter your values here</t>
        </is>
      </c>
    </row>
    <row r="13">
      <c r="B13" s="8" t="inlineStr">
        <is>
          <t xml:space="preserve">   Sample</t>
        </is>
      </c>
      <c r="C13" s="7" t="inlineStr">
        <is>
          <t>Result cells — calculated by Excel formulas</t>
        </is>
      </c>
    </row>
    <row r="14">
      <c r="B14" s="9" t="inlineStr">
        <is>
          <t xml:space="preserve">   Sample</t>
        </is>
      </c>
      <c r="C14" s="7" t="inlineStr">
        <is>
          <t>Labels — descriptions of each row</t>
        </is>
      </c>
    </row>
    <row r="15">
      <c r="B15" s="10" t="inlineStr">
        <is>
          <t xml:space="preserve">   Sample</t>
        </is>
      </c>
      <c r="C15" s="7" t="inlineStr">
        <is>
          <t>Section headers</t>
        </is>
      </c>
    </row>
  </sheetData>
  <mergeCells count="4">
    <mergeCell ref="A1:D1"/>
    <mergeCell ref="A4:D4"/>
    <mergeCell ref="B2:C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4" customWidth="1" min="3" max="3"/>
    <col width="24" customWidth="1" min="4" max="4"/>
    <col width="5" customWidth="1" min="5" max="5"/>
  </cols>
  <sheetData>
    <row r="1" ht="30" customHeight="1">
      <c r="A1" s="1" t="inlineStr">
        <is>
          <t>PV — What Is a Bond Worth Today?</t>
        </is>
      </c>
    </row>
    <row r="2">
      <c r="B2" s="11" t="inlineStr">
        <is>
          <t>A bond pays periodic coupon payments plus face value at maturity. PV calculates what those future cash flows are worth in today's dollars.</t>
        </is>
      </c>
    </row>
    <row r="4" ht="20" customHeight="1">
      <c r="A4" s="3" t="inlineStr">
        <is>
          <t>📥  Bond Details</t>
        </is>
      </c>
    </row>
    <row r="5">
      <c r="B5" s="12" t="inlineStr">
        <is>
          <t>Face Value (fv)</t>
        </is>
      </c>
      <c r="C5" s="13" t="n">
        <v>1000</v>
      </c>
    </row>
    <row r="6">
      <c r="B6" s="12" t="inlineStr">
        <is>
          <t>Coupon Rate (annual)</t>
        </is>
      </c>
      <c r="C6" s="14" t="n">
        <v>0.05</v>
      </c>
    </row>
    <row r="7">
      <c r="B7" s="12" t="inlineStr">
        <is>
          <t>Coupon Payments Per Year</t>
        </is>
      </c>
      <c r="C7" s="15" t="n">
        <v>2</v>
      </c>
    </row>
    <row r="8">
      <c r="B8" s="12" t="inlineStr">
        <is>
          <t>Years to Maturity</t>
        </is>
      </c>
      <c r="C8" s="15" t="n">
        <v>10</v>
      </c>
    </row>
    <row r="9">
      <c r="B9" s="12" t="inlineStr">
        <is>
          <t>Market / Required Rate (annual)</t>
        </is>
      </c>
      <c r="C9" s="14" t="n">
        <v>0.06</v>
      </c>
    </row>
    <row r="11" ht="20" customHeight="1">
      <c r="A11" s="3" t="inlineStr">
        <is>
          <t>📤  Derived Values</t>
        </is>
      </c>
    </row>
    <row r="12">
      <c r="B12" s="12" t="inlineStr">
        <is>
          <t>Coupon Payment Per Period</t>
        </is>
      </c>
      <c r="C12" s="16">
        <f>(C5*C6)/C7</f>
        <v/>
      </c>
    </row>
    <row r="13">
      <c r="B13" s="12" t="inlineStr">
        <is>
          <t>Total Periods (nper)</t>
        </is>
      </c>
      <c r="C13" s="17">
        <f>C8*C7</f>
        <v/>
      </c>
    </row>
    <row r="14">
      <c r="B14" s="12" t="inlineStr">
        <is>
          <t>Periodic Market Rate</t>
        </is>
      </c>
      <c r="C14" s="18">
        <f>C9/C7</f>
        <v/>
      </c>
    </row>
    <row r="16" ht="20" customHeight="1">
      <c r="A16" s="3" t="inlineStr">
        <is>
          <t>💰  Bond Valuation</t>
        </is>
      </c>
    </row>
    <row r="17">
      <c r="B17" s="12" t="inlineStr">
        <is>
          <t>Bond Price  [=PV(rate, nper, pmt, fv)]</t>
        </is>
      </c>
      <c r="C17" s="16">
        <f>ABS(PV(C14,C13,C12,C5,0))</f>
        <v/>
      </c>
    </row>
    <row r="18">
      <c r="B18" s="12" t="inlineStr">
        <is>
          <t>Bond Status</t>
        </is>
      </c>
      <c r="C18" s="8">
        <f>IF(C17&gt;C5,"Trading at PREMIUM (price &gt; face)","Trading at DISCOUNT (price &lt; face)")</f>
        <v/>
      </c>
      <c r="D18" s="19" t="n"/>
    </row>
    <row r="19">
      <c r="B19" s="12" t="inlineStr">
        <is>
          <t>Dollar Difference from Face Value</t>
        </is>
      </c>
      <c r="C19" s="16">
        <f>C17-C5</f>
        <v/>
      </c>
    </row>
    <row r="21" ht="20" customHeight="1">
      <c r="A21" s="3" t="inlineStr">
        <is>
          <t>📖  Concept: Price vs. Rate Relationship</t>
        </is>
      </c>
    </row>
    <row r="22" ht="18" customHeight="1">
      <c r="B22" s="7" t="inlineStr">
        <is>
          <t>• When market rate = coupon rate → Bond trades AT PAR (price = face value)</t>
        </is>
      </c>
    </row>
    <row r="23" ht="18" customHeight="1">
      <c r="B23" s="7" t="inlineStr">
        <is>
          <t>• When market rate &gt; coupon rate → Bond trades at DISCOUNT (price &lt; face value)</t>
        </is>
      </c>
    </row>
    <row r="24" ht="18" customHeight="1">
      <c r="B24" s="7" t="inlineStr">
        <is>
          <t>• When market rate &lt; coupon rate → Bond trades at PREMIUM (price &gt; face value)</t>
        </is>
      </c>
    </row>
    <row r="25" ht="18" customHeight="1">
      <c r="B25" s="7" t="inlineStr">
        <is>
          <t>• This inverse relationship is one of the most important concepts in finance.</t>
        </is>
      </c>
    </row>
    <row r="27" ht="20" customHeight="1">
      <c r="A27" s="3" t="inlineStr">
        <is>
          <t>✏️  Practice Tasks</t>
        </is>
      </c>
    </row>
    <row r="28" ht="18" customHeight="1">
      <c r="B28" s="7" t="inlineStr">
        <is>
          <t>1.  Set market rate = coupon rate (5%). Confirm the price equals $1,000.</t>
        </is>
      </c>
    </row>
    <row r="29" ht="18" customHeight="1">
      <c r="B29" s="7" t="inlineStr">
        <is>
          <t>2.  Raise market rate to 8%. Is the bond at a premium or discount? By how much?</t>
        </is>
      </c>
    </row>
    <row r="30" ht="18" customHeight="1">
      <c r="B30" s="7" t="inlineStr">
        <is>
          <t>3.  Change years to maturity to 2. Does the price move closer to face value? Why?</t>
        </is>
      </c>
    </row>
    <row r="31" ht="18" customHeight="1">
      <c r="B31" s="7" t="inlineStr">
        <is>
          <t>4.  A bond pays quarterly (4x/year). Update the model and recalculate the price.</t>
        </is>
      </c>
    </row>
  </sheetData>
  <mergeCells count="16">
    <mergeCell ref="A21:E21"/>
    <mergeCell ref="B28:D28"/>
    <mergeCell ref="A4:E4"/>
    <mergeCell ref="A16:E16"/>
    <mergeCell ref="B23:D23"/>
    <mergeCell ref="B31:D31"/>
    <mergeCell ref="B22:D22"/>
    <mergeCell ref="A11:E11"/>
    <mergeCell ref="A1:E1"/>
    <mergeCell ref="B30:D30"/>
    <mergeCell ref="C18:D18"/>
    <mergeCell ref="B29:D29"/>
    <mergeCell ref="B25:D25"/>
    <mergeCell ref="B24:D24"/>
    <mergeCell ref="B2:D2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4" customWidth="1" min="3" max="3"/>
    <col width="24" customWidth="1" min="4" max="4"/>
    <col width="5" customWidth="1" min="5" max="5"/>
  </cols>
  <sheetData>
    <row r="1" ht="30" customHeight="1">
      <c r="A1" s="1" t="inlineStr">
        <is>
          <t>FV — How Much Will Your Money Grow?</t>
        </is>
      </c>
    </row>
    <row r="2">
      <c r="B2" s="11" t="inlineStr">
        <is>
          <t>FV calculates the future value of regular savings contributions or a lump-sum investment.</t>
        </is>
      </c>
    </row>
    <row r="4" ht="20" customHeight="1">
      <c r="A4" s="3" t="inlineStr">
        <is>
          <t>📥  Investment Inputs</t>
        </is>
      </c>
    </row>
    <row r="5">
      <c r="B5" s="12" t="inlineStr">
        <is>
          <t>Annual Interest Rate</t>
        </is>
      </c>
      <c r="C5" s="14" t="n">
        <v>0.07000000000000001</v>
      </c>
    </row>
    <row r="6">
      <c r="B6" s="12" t="inlineStr">
        <is>
          <t>Payments Per Year</t>
        </is>
      </c>
      <c r="C6" s="15" t="n">
        <v>12</v>
      </c>
    </row>
    <row r="7">
      <c r="B7" s="12" t="inlineStr">
        <is>
          <t>Years to Invest</t>
        </is>
      </c>
      <c r="C7" s="15" t="n">
        <v>20</v>
      </c>
    </row>
    <row r="8">
      <c r="B8" s="12" t="inlineStr">
        <is>
          <t>Monthly Contribution</t>
        </is>
      </c>
      <c r="C8" s="13" t="n">
        <v>-200</v>
      </c>
    </row>
    <row r="9">
      <c r="B9" s="12" t="inlineStr">
        <is>
          <t>Lump-Sum Today (pv)</t>
        </is>
      </c>
      <c r="C9" s="13" t="n">
        <v>-5000</v>
      </c>
    </row>
    <row r="11" ht="20" customHeight="1">
      <c r="A11" s="3" t="inlineStr">
        <is>
          <t>📤  Future Value Results</t>
        </is>
      </c>
    </row>
    <row r="12">
      <c r="B12" s="12" t="inlineStr">
        <is>
          <t>Periodic Rate</t>
        </is>
      </c>
      <c r="C12" s="18">
        <f>C5/C6</f>
        <v/>
      </c>
    </row>
    <row r="13">
      <c r="B13" s="12" t="inlineStr">
        <is>
          <t>Total Periods</t>
        </is>
      </c>
      <c r="C13" s="17">
        <f>C7*C6</f>
        <v/>
      </c>
    </row>
    <row r="14">
      <c r="B14" s="12" t="inlineStr">
        <is>
          <t>FV — Monthly Contributions Only  [=FV(rate, nper, pmt)]</t>
        </is>
      </c>
      <c r="C14" s="16">
        <f>FV(C12,C13,C8,0,0)</f>
        <v/>
      </c>
    </row>
    <row r="15">
      <c r="B15" s="12" t="inlineStr">
        <is>
          <t>FV — Lump Sum Only  [=FV(rate, nper, 0, pv)]</t>
        </is>
      </c>
      <c r="C15" s="16">
        <f>FV(C12,C13,0,C9,0)</f>
        <v/>
      </c>
    </row>
    <row r="16">
      <c r="B16" s="12" t="inlineStr">
        <is>
          <t>FV — Both Contributions + Lump Sum</t>
        </is>
      </c>
      <c r="C16" s="16">
        <f>FV(C12,C13,C8,C9,0)</f>
        <v/>
      </c>
    </row>
    <row r="17">
      <c r="B17" s="12" t="inlineStr">
        <is>
          <t>Total Amount You Invested</t>
        </is>
      </c>
      <c r="C17" s="16">
        <f>ABS(C8)*C13+ABS(C9)</f>
        <v/>
      </c>
    </row>
    <row r="18">
      <c r="B18" s="12" t="inlineStr">
        <is>
          <t>Total Earnings (Interest)</t>
        </is>
      </c>
      <c r="C18" s="16">
        <f>C16-C17</f>
        <v/>
      </c>
    </row>
    <row r="20" ht="20" customHeight="1">
      <c r="A20" s="3" t="inlineStr">
        <is>
          <t>💡  Key Points</t>
        </is>
      </c>
    </row>
    <row r="21" ht="16" customHeight="1">
      <c r="B21" s="7" t="inlineStr">
        <is>
          <t>• pmt and pv are NEGATIVE because they represent cash you are PAYING OUT</t>
        </is>
      </c>
    </row>
    <row r="22" ht="16" customHeight="1">
      <c r="B22" s="7" t="inlineStr">
        <is>
          <t>• FV returns a positive number representing money you RECEIVE at the end</t>
        </is>
      </c>
    </row>
    <row r="23" ht="16" customHeight="1">
      <c r="B23" s="7" t="inlineStr">
        <is>
          <t>• =FV(rate, nper, pmt, [pv], [type])  — all arguments optional except first three</t>
        </is>
      </c>
    </row>
    <row r="24" ht="16" customHeight="1">
      <c r="B24" s="7" t="inlineStr">
        <is>
          <t>• Increasing the rate or time period has a compounding (exponential) effect on growth</t>
        </is>
      </c>
    </row>
    <row r="26" ht="20" customHeight="1">
      <c r="A26" s="3" t="inlineStr">
        <is>
          <t>✏️  Practice Tasks</t>
        </is>
      </c>
    </row>
    <row r="27" ht="18" customHeight="1">
      <c r="B27" s="7" t="inlineStr">
        <is>
          <t>1.  Remove the lump sum (set pv to 0). How much does the monthly contribution alone grow to?</t>
        </is>
      </c>
    </row>
    <row r="28" ht="18" customHeight="1">
      <c r="B28" s="7" t="inlineStr">
        <is>
          <t>2.  Double the monthly contribution to $400. How much more do you end up with?</t>
        </is>
      </c>
    </row>
    <row r="29" ht="18" customHeight="1">
      <c r="B29" s="7" t="inlineStr">
        <is>
          <t>3.  Increase the rate to 10%. What is the impact on total earnings?</t>
        </is>
      </c>
    </row>
    <row r="30" ht="18" customHeight="1">
      <c r="B30" s="7" t="inlineStr">
        <is>
          <t>4.  Start with a $10,000 lump sum and no monthly contributions. What is FV after 20 years at 7%?</t>
        </is>
      </c>
    </row>
  </sheetData>
  <mergeCells count="14">
    <mergeCell ref="B28:D28"/>
    <mergeCell ref="A4:E4"/>
    <mergeCell ref="A20:E20"/>
    <mergeCell ref="A26:E26"/>
    <mergeCell ref="B23:D23"/>
    <mergeCell ref="B22:D22"/>
    <mergeCell ref="A11:E11"/>
    <mergeCell ref="B27:D27"/>
    <mergeCell ref="A1:E1"/>
    <mergeCell ref="B21:D21"/>
    <mergeCell ref="B30:D30"/>
    <mergeCell ref="B29:D29"/>
    <mergeCell ref="B24:D2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2026-05-28T14:36:09Z</dcterms:created>
  <dcterms:modified xsi:type="dcterms:W3CDTF">2026-05-28T14:36:09Z</dcterms:modified>
</cp:coreProperties>
</file>