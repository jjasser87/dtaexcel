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NPV_IRR" sheetId="2" state="visible" r:id="rId2"/>
    <sheet name="XNPV_XIR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yyyy-mm-dd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00000"/>
      <sz val="11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7F3F00"/>
      <sz val="10"/>
    </font>
    <font>
      <name val="Calibri"/>
      <b val="1"/>
      <color rgb="00375623"/>
      <sz val="10"/>
    </font>
    <font>
      <name val="Calibri"/>
      <i val="1"/>
      <color rgb="00595959"/>
      <sz val="9"/>
    </font>
    <font>
      <name val="Calibri"/>
      <color rgb="007F3F00"/>
      <sz val="11"/>
    </font>
    <font>
      <name val="Calibri"/>
      <color rgb="007F3F00"/>
      <sz val="10"/>
    </font>
    <font>
      <name val="Calibri"/>
      <color rgb="00375623"/>
      <sz val="10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BDD7EE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0" fontId="9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167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50" customWidth="1" min="3" max="3"/>
    <col width="5" customWidth="1" min="4" max="4"/>
  </cols>
  <sheetData>
    <row r="1" ht="30" customHeight="1">
      <c r="A1" s="1" t="inlineStr">
        <is>
          <t>rFLA300 — Chapter 11: Financial Models</t>
        </is>
      </c>
    </row>
    <row r="2" ht="18" customHeight="1">
      <c r="B2" s="2" t="inlineStr">
        <is>
          <t>Investment Analysis — NPV, XNPV, IRR, XIRR</t>
        </is>
      </c>
    </row>
    <row r="4" ht="20" customHeight="1">
      <c r="A4" s="3" t="inlineStr">
        <is>
          <t>📋  File Contents</t>
        </is>
      </c>
    </row>
    <row r="5">
      <c r="B5" s="4" t="inlineStr">
        <is>
          <t>Sheet</t>
        </is>
      </c>
      <c r="C5" s="4" t="inlineStr">
        <is>
          <t>Purpose</t>
        </is>
      </c>
    </row>
    <row r="6">
      <c r="B6" s="5" t="inlineStr">
        <is>
          <t>Instructions</t>
        </is>
      </c>
      <c r="C6" s="5" t="inlineStr">
        <is>
          <t>Overview of file purpose and color key</t>
        </is>
      </c>
    </row>
    <row r="7">
      <c r="B7" s="5" t="inlineStr">
        <is>
          <t>NPV_IRR</t>
        </is>
      </c>
      <c r="C7" s="5" t="inlineStr">
        <is>
          <t>Analyze even-period cash flows using NPV and IRR</t>
        </is>
      </c>
    </row>
    <row r="8">
      <c r="B8" s="5" t="inlineStr">
        <is>
          <t>XNPV_XIRR</t>
        </is>
      </c>
      <c r="C8" s="5" t="inlineStr">
        <is>
          <t>Analyze irregular-date cash flows using XNPV and XIRR</t>
        </is>
      </c>
    </row>
    <row r="11" ht="20" customHeight="1">
      <c r="A11" s="3" t="inlineStr">
        <is>
          <t>🎨  Color Key</t>
        </is>
      </c>
    </row>
    <row r="12">
      <c r="B12" s="6" t="inlineStr">
        <is>
          <t xml:space="preserve">   Sample</t>
        </is>
      </c>
      <c r="C12" s="7" t="inlineStr">
        <is>
          <t>Input / Assumption cells — enter your values here</t>
        </is>
      </c>
    </row>
    <row r="13">
      <c r="B13" s="8" t="inlineStr">
        <is>
          <t xml:space="preserve">   Sample</t>
        </is>
      </c>
      <c r="C13" s="7" t="inlineStr">
        <is>
          <t>Result cells — calculated by Excel formulas</t>
        </is>
      </c>
    </row>
    <row r="14">
      <c r="B14" s="9" t="inlineStr">
        <is>
          <t xml:space="preserve">   Sample</t>
        </is>
      </c>
      <c r="C14" s="7" t="inlineStr">
        <is>
          <t>Labels — descriptions of each row</t>
        </is>
      </c>
    </row>
    <row r="15">
      <c r="B15" s="10" t="inlineStr">
        <is>
          <t xml:space="preserve">   Sample</t>
        </is>
      </c>
      <c r="C15" s="7" t="inlineStr">
        <is>
          <t>Section headers</t>
        </is>
      </c>
    </row>
  </sheetData>
  <mergeCells count="4">
    <mergeCell ref="A1:D1"/>
    <mergeCell ref="A4:D4"/>
    <mergeCell ref="B2:C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24" customWidth="1" min="4" max="4"/>
    <col width="24" customWidth="1" min="5" max="5"/>
    <col width="5" customWidth="1" min="6" max="6"/>
  </cols>
  <sheetData>
    <row r="1" ht="30" customHeight="1">
      <c r="A1" s="1" t="inlineStr">
        <is>
          <t>NPV &amp; IRR — Investment Decision Analysis</t>
        </is>
      </c>
    </row>
    <row r="2">
      <c r="B2" s="11" t="inlineStr">
        <is>
          <t>Scenario: A company is considering two capital projects. Which one creates more value?</t>
        </is>
      </c>
    </row>
    <row r="4" ht="20" customHeight="1">
      <c r="A4" s="3" t="inlineStr">
        <is>
          <t>📥  Discount Rate</t>
        </is>
      </c>
    </row>
    <row r="5">
      <c r="B5" s="12" t="inlineStr">
        <is>
          <t>Required Rate of Return (Discount Rate)</t>
        </is>
      </c>
      <c r="C5" s="13" t="n">
        <v>0.1</v>
      </c>
    </row>
    <row r="7" ht="20" customHeight="1">
      <c r="A7" s="3" t="inlineStr">
        <is>
          <t>📋  Cash Flows</t>
        </is>
      </c>
    </row>
    <row r="8">
      <c r="B8" s="10" t="inlineStr">
        <is>
          <t>Year</t>
        </is>
      </c>
      <c r="C8" s="10" t="inlineStr">
        <is>
          <t>Description</t>
        </is>
      </c>
      <c r="D8" s="10" t="inlineStr">
        <is>
          <t>Project Alpha</t>
        </is>
      </c>
      <c r="E8" s="10" t="inlineStr">
        <is>
          <t>Project Beta</t>
        </is>
      </c>
    </row>
    <row r="9" ht="16" customHeight="1">
      <c r="B9" s="14" t="n">
        <v>0</v>
      </c>
      <c r="C9" s="5" t="inlineStr">
        <is>
          <t>Initial Investment</t>
        </is>
      </c>
      <c r="D9" s="15" t="n">
        <v>-80000</v>
      </c>
      <c r="E9" s="15" t="n">
        <v>-120000</v>
      </c>
    </row>
    <row r="10" ht="16" customHeight="1">
      <c r="B10" s="14" t="n">
        <v>1</v>
      </c>
      <c r="C10" s="5" t="inlineStr">
        <is>
          <t>Year 1 Cash Flow</t>
        </is>
      </c>
      <c r="D10" s="16" t="n">
        <v>25000</v>
      </c>
      <c r="E10" s="16" t="n">
        <v>30000</v>
      </c>
    </row>
    <row r="11" ht="16" customHeight="1">
      <c r="B11" s="14" t="n">
        <v>2</v>
      </c>
      <c r="C11" s="5" t="inlineStr">
        <is>
          <t>Year 2 Cash Flow</t>
        </is>
      </c>
      <c r="D11" s="16" t="n">
        <v>30000</v>
      </c>
      <c r="E11" s="16" t="n">
        <v>35000</v>
      </c>
    </row>
    <row r="12" ht="16" customHeight="1">
      <c r="B12" s="14" t="n">
        <v>3</v>
      </c>
      <c r="C12" s="5" t="inlineStr">
        <is>
          <t>Year 3 Cash Flow</t>
        </is>
      </c>
      <c r="D12" s="16" t="n">
        <v>28000</v>
      </c>
      <c r="E12" s="16" t="n">
        <v>40000</v>
      </c>
    </row>
    <row r="13" ht="16" customHeight="1">
      <c r="B13" s="14" t="n">
        <v>4</v>
      </c>
      <c r="C13" s="5" t="inlineStr">
        <is>
          <t>Year 4 Cash Flow</t>
        </is>
      </c>
      <c r="D13" s="16" t="n">
        <v>22000</v>
      </c>
      <c r="E13" s="16" t="n">
        <v>42000</v>
      </c>
    </row>
    <row r="14" ht="16" customHeight="1">
      <c r="B14" s="14" t="n">
        <v>5</v>
      </c>
      <c r="C14" s="5" t="inlineStr">
        <is>
          <t>Year 5 Cash Flow</t>
        </is>
      </c>
      <c r="D14" s="16" t="n">
        <v>20000</v>
      </c>
      <c r="E14" s="16" t="n">
        <v>45000</v>
      </c>
    </row>
    <row r="16" ht="20" customHeight="1">
      <c r="A16" s="3" t="inlineStr">
        <is>
          <t>📤  NPV Analysis  [=NPV(rate, value1, [value2,...])]</t>
        </is>
      </c>
    </row>
    <row r="17">
      <c r="B17" s="11" t="inlineStr">
        <is>
          <t>IMPORTANT: Excel NPV discounts all values. Year 0 (initial investment) must be added OUTSIDE the NPV function.</t>
        </is>
      </c>
    </row>
    <row r="18">
      <c r="B18" s="12" t="inlineStr">
        <is>
          <t>NPV of Future Cash Flows (Years 1–5)</t>
        </is>
      </c>
      <c r="D18" s="17">
        <f>NPV($C$5,D10:D14)</f>
        <v/>
      </c>
      <c r="E18" s="17">
        <f>NPV($C$5,E10:E14)</f>
        <v/>
      </c>
    </row>
    <row r="19">
      <c r="B19" s="12" t="inlineStr">
        <is>
          <t>Add Year 0 Investment: Net NPV</t>
        </is>
      </c>
      <c r="D19" s="17">
        <f>D18+D9</f>
        <v/>
      </c>
      <c r="E19" s="17">
        <f>E18+E9</f>
        <v/>
      </c>
    </row>
    <row r="20">
      <c r="B20" s="12" t="inlineStr">
        <is>
          <t>Decision</t>
        </is>
      </c>
      <c r="D20" s="8">
        <f>IF(D19&gt;0,"Accept ✓ (NPV &gt; 0)","Reject ✗ (NPV &lt; 0)")</f>
        <v/>
      </c>
      <c r="E20" s="8">
        <f>IF(E19&gt;0,"Accept ✓ (NPV &gt; 0)","Reject ✗ (NPV &lt; 0)")</f>
        <v/>
      </c>
    </row>
    <row r="22" ht="20" customHeight="1">
      <c r="A22" s="3" t="inlineStr">
        <is>
          <t>📤  IRR Analysis  [=IRR(values, [guess])]</t>
        </is>
      </c>
    </row>
    <row r="23">
      <c r="B23" s="11" t="inlineStr">
        <is>
          <t>IRR finds the discount rate that makes NPV = 0. Include Year 0 investment IN the IRR range.</t>
        </is>
      </c>
    </row>
    <row r="24">
      <c r="B24" s="12" t="inlineStr">
        <is>
          <t>Internal Rate of Return (IRR)</t>
        </is>
      </c>
      <c r="D24" s="18">
        <f>IRR(D9:D14)</f>
        <v/>
      </c>
      <c r="E24" s="18">
        <f>IRR(E9:E14)</f>
        <v/>
      </c>
    </row>
    <row r="25">
      <c r="B25" s="12" t="inlineStr">
        <is>
          <t>IRR vs Required Rate</t>
        </is>
      </c>
      <c r="D25" s="8">
        <f>IF(D24&gt;$C$5,"IRR &gt; Hurdle → Accept ✓","IRR &lt; Hurdle → Reject ✗")</f>
        <v/>
      </c>
      <c r="E25" s="8">
        <f>IF(E24&gt;$C$5,"IRR &gt; Hurdle → Accept ✓","IRR &lt; Hurdle → Reject ✗")</f>
        <v/>
      </c>
    </row>
    <row r="26">
      <c r="B26" s="12" t="inlineStr">
        <is>
          <t>Best Project</t>
        </is>
      </c>
      <c r="D26" s="19">
        <f>IF(D19&gt;E19,"Project Alpha","Project Beta")</f>
        <v/>
      </c>
      <c r="E26" s="20" t="n"/>
    </row>
    <row r="28" ht="20" customHeight="1">
      <c r="A28" s="3" t="inlineStr">
        <is>
          <t>💡  NPV vs IRR: Decision Rules</t>
        </is>
      </c>
    </row>
    <row r="29" ht="16" customHeight="1">
      <c r="B29" s="7" t="inlineStr">
        <is>
          <t>• NPV Rule:  Accept if NPV &gt; 0. Higher NPV = more value created.</t>
        </is>
      </c>
    </row>
    <row r="30" ht="16" customHeight="1">
      <c r="B30" s="7" t="inlineStr">
        <is>
          <t>• IRR Rule:  Accept if IRR &gt; hurdle rate (required return). Higher IRR = more efficient.</t>
        </is>
      </c>
    </row>
    <row r="31" ht="16" customHeight="1">
      <c r="B31" s="7" t="inlineStr">
        <is>
          <t>• Conflict:  If NPV and IRR disagree, prefer NPV — it measures absolute value in dollars.</t>
        </is>
      </c>
    </row>
    <row r="32" ht="16" customHeight="1">
      <c r="B32" s="7" t="inlineStr">
        <is>
          <t>• Pitfall:   IRR can give multiple answers when cash flows change sign more than once.</t>
        </is>
      </c>
    </row>
  </sheetData>
  <mergeCells count="15">
    <mergeCell ref="A16:F16"/>
    <mergeCell ref="B17:E17"/>
    <mergeCell ref="B23:E23"/>
    <mergeCell ref="B31:E31"/>
    <mergeCell ref="A28:F28"/>
    <mergeCell ref="A1:F1"/>
    <mergeCell ref="D5:E5"/>
    <mergeCell ref="B30:E30"/>
    <mergeCell ref="B29:E29"/>
    <mergeCell ref="A22:F22"/>
    <mergeCell ref="A4:F4"/>
    <mergeCell ref="B2:E2"/>
    <mergeCell ref="D26:E26"/>
    <mergeCell ref="A7:F7"/>
    <mergeCell ref="B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22" customWidth="1" min="4" max="4"/>
    <col width="24" customWidth="1" min="5" max="5"/>
    <col width="5" customWidth="1" min="6" max="6"/>
  </cols>
  <sheetData>
    <row r="1" ht="30" customHeight="1">
      <c r="A1" s="1" t="inlineStr">
        <is>
          <t>XNPV &amp; XIRR — Irregular Cash Flow Analysis</t>
        </is>
      </c>
    </row>
    <row r="2">
      <c r="B2" s="11" t="inlineStr">
        <is>
          <t>When cash flows happen at irregular intervals (not annually), use XNPV and XIRR. They require an actual DATE for each cash flow.</t>
        </is>
      </c>
    </row>
    <row r="4" ht="20" customHeight="1">
      <c r="A4" s="3" t="inlineStr">
        <is>
          <t>📥  Discount Rate</t>
        </is>
      </c>
    </row>
    <row r="5">
      <c r="B5" s="12" t="inlineStr">
        <is>
          <t>Required Rate of Return</t>
        </is>
      </c>
      <c r="C5" s="13" t="n">
        <v>0.12</v>
      </c>
    </row>
    <row r="7" ht="20" customHeight="1">
      <c r="A7" s="3" t="inlineStr">
        <is>
          <t>📋  Irregular Cash Flows with Dates</t>
        </is>
      </c>
    </row>
    <row r="8">
      <c r="B8" s="10" t="inlineStr">
        <is>
          <t>#</t>
        </is>
      </c>
      <c r="C8" s="10" t="inlineStr">
        <is>
          <t>Date</t>
        </is>
      </c>
      <c r="D8" s="10" t="inlineStr">
        <is>
          <t>Cash Flow</t>
        </is>
      </c>
      <c r="E8" s="10" t="inlineStr">
        <is>
          <t>Description</t>
        </is>
      </c>
    </row>
    <row r="9" ht="16" customHeight="1">
      <c r="B9" s="14" t="n">
        <v>1</v>
      </c>
      <c r="C9" s="21" t="n">
        <v>45658</v>
      </c>
      <c r="D9" s="15" t="n">
        <v>-100000</v>
      </c>
      <c r="E9" s="5" t="inlineStr">
        <is>
          <t>Initial investment</t>
        </is>
      </c>
    </row>
    <row r="10" ht="16" customHeight="1">
      <c r="B10" s="14" t="n">
        <v>2</v>
      </c>
      <c r="C10" s="21" t="n">
        <v>45823</v>
      </c>
      <c r="D10" s="16" t="n">
        <v>18000</v>
      </c>
      <c r="E10" s="5" t="inlineStr">
        <is>
          <t>First revenue milestone</t>
        </is>
      </c>
    </row>
    <row r="11" ht="16" customHeight="1">
      <c r="B11" s="14" t="n">
        <v>3</v>
      </c>
      <c r="C11" s="21" t="n">
        <v>46022</v>
      </c>
      <c r="D11" s="16" t="n">
        <v>22000</v>
      </c>
      <c r="E11" s="5" t="inlineStr">
        <is>
          <t>Year-end receipt</t>
        </is>
      </c>
    </row>
    <row r="12" ht="16" customHeight="1">
      <c r="B12" s="14" t="n">
        <v>4</v>
      </c>
      <c r="C12" s="21" t="n">
        <v>46082</v>
      </c>
      <c r="D12" s="16" t="n">
        <v>25000</v>
      </c>
      <c r="E12" s="5" t="inlineStr">
        <is>
          <t>Q1 2026 payment</t>
        </is>
      </c>
    </row>
    <row r="13" ht="16" customHeight="1">
      <c r="B13" s="14" t="n">
        <v>5</v>
      </c>
      <c r="C13" s="21" t="n">
        <v>46295</v>
      </c>
      <c r="D13" s="16" t="n">
        <v>30000</v>
      </c>
      <c r="E13" s="5" t="inlineStr">
        <is>
          <t>Q3 2026 payment</t>
        </is>
      </c>
    </row>
    <row r="14" ht="16" customHeight="1">
      <c r="B14" s="14" t="n">
        <v>6</v>
      </c>
      <c r="C14" s="21" t="n">
        <v>46402</v>
      </c>
      <c r="D14" s="16" t="n">
        <v>28000</v>
      </c>
      <c r="E14" s="5" t="inlineStr">
        <is>
          <t>Early 2027 payment</t>
        </is>
      </c>
    </row>
    <row r="15" ht="16" customHeight="1">
      <c r="B15" s="14" t="n">
        <v>7</v>
      </c>
      <c r="C15" s="21" t="n">
        <v>46752</v>
      </c>
      <c r="D15" s="16" t="n">
        <v>40000</v>
      </c>
      <c r="E15" s="5" t="inlineStr">
        <is>
          <t>Final payment + residual</t>
        </is>
      </c>
    </row>
    <row r="17" ht="20" customHeight="1">
      <c r="A17" s="3" t="inlineStr">
        <is>
          <t>📤  XNPV  [=XNPV(rate, values, dates)]</t>
        </is>
      </c>
    </row>
    <row r="18">
      <c r="B18" s="12" t="inlineStr">
        <is>
          <t>Net Present Value (XNPV)</t>
        </is>
      </c>
      <c r="C18" s="17">
        <f>XNPV(C5,D9:D15,C9:C15)</f>
        <v/>
      </c>
      <c r="D18" s="20" t="n"/>
    </row>
    <row r="19">
      <c r="B19" s="12" t="inlineStr">
        <is>
          <t>Decision</t>
        </is>
      </c>
      <c r="C19" s="8">
        <f>IF(C18&gt;0,"Accept ✓ (XNPV &gt; 0)","Reject ✗ (XNPV &lt; 0)")</f>
        <v/>
      </c>
      <c r="D19" s="20" t="n"/>
    </row>
    <row r="21" ht="20" customHeight="1">
      <c r="A21" s="3" t="inlineStr">
        <is>
          <t>📤  XIRR  [=XIRR(values, dates, [guess])]</t>
        </is>
      </c>
    </row>
    <row r="22">
      <c r="B22" s="12" t="inlineStr">
        <is>
          <t>Internal Rate of Return (XIRR)</t>
        </is>
      </c>
      <c r="C22" s="18">
        <f>XIRR(D9:D15,C9:C15,0.1)</f>
        <v/>
      </c>
      <c r="D22" s="20" t="n"/>
    </row>
    <row r="23">
      <c r="B23" s="12" t="inlineStr">
        <is>
          <t>IRR vs Required Rate</t>
        </is>
      </c>
      <c r="C23" s="8">
        <f>IF(C22&gt;C5,"XIRR &gt; Hurdle → Accept ✓","XIRR &lt; Hurdle → Reject ✗")</f>
        <v/>
      </c>
      <c r="D23" s="20" t="n"/>
    </row>
    <row r="25" ht="20" customHeight="1">
      <c r="A25" s="3" t="inlineStr">
        <is>
          <t>💡  XNPV vs NPV / XIRR vs IRR</t>
        </is>
      </c>
    </row>
    <row r="26" ht="16" customHeight="1">
      <c r="B26" s="7" t="inlineStr">
        <is>
          <t>• NPV / IRR assume cash flows at equal intervals. XNPV / XIRR use actual dates.</t>
        </is>
      </c>
    </row>
    <row r="27" ht="16" customHeight="1">
      <c r="B27" s="7" t="inlineStr">
        <is>
          <t>• If your cash flows occur irregularly (different months, quarters), always use XNPV / XIRR.</t>
        </is>
      </c>
    </row>
    <row r="28" ht="16" customHeight="1">
      <c r="B28" s="7" t="inlineStr">
        <is>
          <t>• XNPV and XIRR require the Analysis ToolPak add-in in older Excel versions.</t>
        </is>
      </c>
    </row>
    <row r="29" ht="16" customHeight="1">
      <c r="B29" s="7" t="inlineStr">
        <is>
          <t>• The first date must be the earliest (investment date). Cash flows need not be sorted otherwise.</t>
        </is>
      </c>
    </row>
    <row r="30" ht="16" customHeight="1">
      <c r="B30" s="7" t="inlineStr">
        <is>
          <t>• XIRR needs a guess (try 0.1) — some problems have multiple IRR solutions.</t>
        </is>
      </c>
    </row>
    <row r="32" ht="20" customHeight="1">
      <c r="A32" s="3" t="inlineStr">
        <is>
          <t>✏️  Practice Tasks</t>
        </is>
      </c>
    </row>
    <row r="33" ht="18" customHeight="1">
      <c r="B33" s="7" t="inlineStr">
        <is>
          <t>1.  Change the discount rate to 15%. Does the project still make sense?</t>
        </is>
      </c>
    </row>
    <row r="34" ht="18" customHeight="1">
      <c r="B34" s="7" t="inlineStr">
        <is>
          <t>2.  Increase the first cash flow (June 2025) to $30,000. How does XNPV change?</t>
        </is>
      </c>
    </row>
    <row r="35" ht="18" customHeight="1">
      <c r="B35" s="7" t="inlineStr">
        <is>
          <t>3.  Add an 8th cash flow on 2028-06-30 for $20,000. Update the XNPV and XIRR formulas.</t>
        </is>
      </c>
    </row>
    <row r="36" ht="18" customHeight="1">
      <c r="B36" s="7" t="inlineStr">
        <is>
          <t>4.  Remove the irregular dates and space cash flows exactly 1 year apart. Compare XIRR to IRR.</t>
        </is>
      </c>
    </row>
  </sheetData>
  <mergeCells count="21">
    <mergeCell ref="B30:E30"/>
    <mergeCell ref="B33:E33"/>
    <mergeCell ref="A21:F21"/>
    <mergeCell ref="B36:E36"/>
    <mergeCell ref="B26:E26"/>
    <mergeCell ref="B35:E35"/>
    <mergeCell ref="A32:F32"/>
    <mergeCell ref="A17:F17"/>
    <mergeCell ref="C22:D22"/>
    <mergeCell ref="A4:F4"/>
    <mergeCell ref="B27:E27"/>
    <mergeCell ref="B2:E2"/>
    <mergeCell ref="C23:D23"/>
    <mergeCell ref="A1:F1"/>
    <mergeCell ref="C19:D19"/>
    <mergeCell ref="B29:E29"/>
    <mergeCell ref="C18:D18"/>
    <mergeCell ref="B28:E28"/>
    <mergeCell ref="A7:F7"/>
    <mergeCell ref="A25:F25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2026-05-28T14:53:31Z</dcterms:created>
  <dcterms:modified xsi:type="dcterms:W3CDTF">2026-05-28T14:53:31Z</dcterms:modified>
</cp:coreProperties>
</file>